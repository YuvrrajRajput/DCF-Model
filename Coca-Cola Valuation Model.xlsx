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mc:AlternateContent xmlns:mc="http://schemas.openxmlformats.org/markup-compatibility/2006">
    <mc:Choice Requires="x15">
      <x15ac:absPath xmlns:x15ac="http://schemas.microsoft.com/office/spreadsheetml/2010/11/ac" url="/Users/yuvrajrajput/Documents/Excel/Practice Files/"/>
    </mc:Choice>
  </mc:AlternateContent>
  <xr:revisionPtr revIDLastSave="0" documentId="8_{70D0DC21-03F0-724D-82FA-099841990C3D}" xr6:coauthVersionLast="47" xr6:coauthVersionMax="47" xr10:uidLastSave="{00000000-0000-0000-0000-000000000000}"/>
  <bookViews>
    <workbookView xWindow="0" yWindow="0" windowWidth="38400" windowHeight="21600" activeTab="1" xr2:uid="{00000000-000D-0000-FFFF-FFFF00000000}"/>
  </bookViews>
  <sheets>
    <sheet name="Fixed Assets" sheetId="6" r:id="rId1"/>
    <sheet name="Free Cash FLow" sheetId="5" r:id="rId2"/>
    <sheet name="Net Working Capital" sheetId="7" r:id="rId3"/>
    <sheet name="IS_Historical" sheetId="1" r:id="rId4"/>
    <sheet name="BS_ Historical" sheetId="2" r:id="rId5"/>
    <sheet name="CF_Historical" sheetId="3" r:id="rId6"/>
    <sheet name="DCF" sheetId="8" r:id="rId7"/>
    <sheet name="WACC" sheetId="9" r:id="rId8"/>
    <sheet name="Sources" sheetId="4"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7" l="1"/>
  <c r="I9" i="7"/>
  <c r="J9" i="7"/>
  <c r="K9" i="7"/>
  <c r="L9" i="7"/>
  <c r="H4" i="7"/>
  <c r="I28" i="1"/>
  <c r="J28" i="1"/>
  <c r="K28" i="1"/>
  <c r="L28" i="1"/>
  <c r="H28" i="1"/>
  <c r="J30" i="1"/>
  <c r="I30" i="1"/>
  <c r="K30" i="1"/>
  <c r="L30" i="1"/>
  <c r="H30" i="1"/>
  <c r="B30" i="1"/>
  <c r="C5" i="9"/>
  <c r="C16" i="9" s="1"/>
  <c r="H10" i="5"/>
  <c r="F19" i="7"/>
  <c r="B16" i="8"/>
  <c r="C17" i="9"/>
  <c r="C15" i="9"/>
  <c r="C13" i="9"/>
  <c r="C14" i="9"/>
  <c r="C11" i="7"/>
  <c r="C13" i="5" s="1"/>
  <c r="D11" i="7"/>
  <c r="D13" i="5" s="1"/>
  <c r="E11" i="7"/>
  <c r="E13" i="5" s="1"/>
  <c r="F11" i="7"/>
  <c r="F13" i="5" s="1"/>
  <c r="B11" i="7"/>
  <c r="B13" i="5" s="1"/>
  <c r="F9" i="5"/>
  <c r="H9" i="5"/>
  <c r="I9" i="5"/>
  <c r="J9" i="5"/>
  <c r="K9" i="5"/>
  <c r="L9" i="5"/>
  <c r="C17" i="5"/>
  <c r="D17" i="5"/>
  <c r="E17" i="5"/>
  <c r="F17" i="5"/>
  <c r="B17" i="5"/>
  <c r="C3" i="5"/>
  <c r="D3" i="5"/>
  <c r="E3" i="5"/>
  <c r="F3" i="5"/>
  <c r="B3" i="5"/>
  <c r="C23" i="7"/>
  <c r="D23" i="7"/>
  <c r="E23" i="7"/>
  <c r="F23" i="7"/>
  <c r="B23" i="7"/>
  <c r="C19" i="7"/>
  <c r="D19" i="7"/>
  <c r="E19" i="7"/>
  <c r="B19" i="7"/>
  <c r="B4" i="7"/>
  <c r="B17" i="7" s="1"/>
  <c r="C4" i="7"/>
  <c r="C17" i="7" s="1"/>
  <c r="D4" i="7"/>
  <c r="D17" i="7" s="1"/>
  <c r="E4" i="7"/>
  <c r="E17" i="7" s="1"/>
  <c r="F4" i="7"/>
  <c r="F17" i="7" s="1"/>
  <c r="B5" i="7"/>
  <c r="B18" i="7" s="1"/>
  <c r="C5" i="7"/>
  <c r="C18" i="7" s="1"/>
  <c r="D5" i="7"/>
  <c r="D18" i="7" s="1"/>
  <c r="E5" i="7"/>
  <c r="E18" i="7" s="1"/>
  <c r="F5" i="7"/>
  <c r="F18" i="7" s="1"/>
  <c r="B6" i="7"/>
  <c r="B22" i="7" s="1"/>
  <c r="C6" i="7"/>
  <c r="C22" i="7" s="1"/>
  <c r="D6" i="7"/>
  <c r="D22" i="7" s="1"/>
  <c r="E6" i="7"/>
  <c r="E22" i="7" s="1"/>
  <c r="F6" i="7"/>
  <c r="F22" i="7" s="1"/>
  <c r="F12" i="6"/>
  <c r="C3" i="6"/>
  <c r="B6" i="6" s="1"/>
  <c r="D3" i="6"/>
  <c r="C6" i="6" s="1"/>
  <c r="E3" i="6"/>
  <c r="D6" i="6" s="1"/>
  <c r="F3" i="6"/>
  <c r="E6" i="6" s="1"/>
  <c r="B3" i="6"/>
  <c r="C26" i="1"/>
  <c r="D26" i="1"/>
  <c r="E26" i="1"/>
  <c r="F26" i="1"/>
  <c r="B26" i="1"/>
  <c r="C8" i="9" s="1"/>
  <c r="C25" i="1"/>
  <c r="D25" i="1"/>
  <c r="E25" i="1"/>
  <c r="F25" i="1"/>
  <c r="B25" i="1"/>
  <c r="C24" i="1"/>
  <c r="D24" i="1"/>
  <c r="E24" i="1"/>
  <c r="F24" i="1"/>
  <c r="B24" i="1"/>
  <c r="C23" i="1"/>
  <c r="D23" i="1"/>
  <c r="E23" i="1"/>
  <c r="F23" i="1"/>
  <c r="B23" i="1"/>
  <c r="C22" i="1"/>
  <c r="D22" i="1"/>
  <c r="E22" i="1"/>
  <c r="F22" i="1"/>
  <c r="B22" i="1"/>
  <c r="H3" i="1"/>
  <c r="H4" i="1" s="1"/>
  <c r="H5" i="1" s="1"/>
  <c r="D21" i="1"/>
  <c r="E21" i="1"/>
  <c r="F21" i="1"/>
  <c r="C21" i="1"/>
  <c r="H19" i="5" l="1"/>
  <c r="L19" i="7"/>
  <c r="H19" i="7"/>
  <c r="I19" i="7"/>
  <c r="J19" i="7"/>
  <c r="K19" i="7"/>
  <c r="B7" i="7"/>
  <c r="B12" i="5" s="1"/>
  <c r="B11" i="5" s="1"/>
  <c r="F7" i="7"/>
  <c r="F12" i="5" s="1"/>
  <c r="F11" i="5" s="1"/>
  <c r="C7" i="7"/>
  <c r="C12" i="5" s="1"/>
  <c r="C11" i="5" s="1"/>
  <c r="D7" i="7"/>
  <c r="D12" i="5" s="1"/>
  <c r="D11" i="5" s="1"/>
  <c r="E7" i="7"/>
  <c r="E12" i="5" s="1"/>
  <c r="E11" i="5" s="1"/>
  <c r="C7" i="9"/>
  <c r="C10" i="9" s="1"/>
  <c r="C9" i="9"/>
  <c r="B17" i="8"/>
  <c r="H17" i="7"/>
  <c r="H22" i="7"/>
  <c r="H6" i="7" s="1"/>
  <c r="H18" i="7"/>
  <c r="H5" i="7" s="1"/>
  <c r="H23" i="7"/>
  <c r="H10" i="7" s="1"/>
  <c r="H10" i="1"/>
  <c r="H7" i="1"/>
  <c r="H4" i="6"/>
  <c r="H12" i="6"/>
  <c r="I3" i="1"/>
  <c r="I4" i="7" s="1"/>
  <c r="H6" i="1"/>
  <c r="C19" i="9" l="1"/>
  <c r="B12" i="8" s="1"/>
  <c r="H15" i="1"/>
  <c r="H4" i="5" s="1"/>
  <c r="H8" i="5"/>
  <c r="D10" i="5"/>
  <c r="D19" i="5" s="1"/>
  <c r="C10" i="5"/>
  <c r="E10" i="5"/>
  <c r="F10" i="5"/>
  <c r="I23" i="7"/>
  <c r="J23" i="7" s="1"/>
  <c r="H11" i="7"/>
  <c r="H13" i="5" s="1"/>
  <c r="H7" i="7"/>
  <c r="H12" i="5" s="1"/>
  <c r="I22" i="7"/>
  <c r="J22" i="7" s="1"/>
  <c r="H8" i="1"/>
  <c r="H9" i="1" s="1"/>
  <c r="I7" i="1"/>
  <c r="I4" i="1"/>
  <c r="I6" i="1"/>
  <c r="I10" i="1"/>
  <c r="I4" i="6"/>
  <c r="J3" i="1"/>
  <c r="J4" i="7" s="1"/>
  <c r="I12" i="6"/>
  <c r="H11" i="1" l="1"/>
  <c r="H12" i="1" s="1"/>
  <c r="H29" i="1"/>
  <c r="I15" i="1"/>
  <c r="I4" i="5" s="1"/>
  <c r="I8" i="5"/>
  <c r="C19" i="5"/>
  <c r="F19" i="5"/>
  <c r="E19" i="5"/>
  <c r="H11" i="5"/>
  <c r="I10" i="7"/>
  <c r="I6" i="7"/>
  <c r="I8" i="1"/>
  <c r="I5" i="7"/>
  <c r="I7" i="7" s="1"/>
  <c r="I12" i="5" s="1"/>
  <c r="K23" i="7"/>
  <c r="J10" i="7"/>
  <c r="J6" i="7"/>
  <c r="K22" i="7"/>
  <c r="I5" i="1"/>
  <c r="H14" i="1"/>
  <c r="J7" i="1"/>
  <c r="J6" i="1"/>
  <c r="J4" i="1"/>
  <c r="K3" i="1"/>
  <c r="K4" i="7" s="1"/>
  <c r="J12" i="6"/>
  <c r="J10" i="1"/>
  <c r="J4" i="6"/>
  <c r="H16" i="1" l="1"/>
  <c r="H3" i="5"/>
  <c r="H5" i="5" s="1"/>
  <c r="I9" i="1"/>
  <c r="I14" i="1" s="1"/>
  <c r="J15" i="1"/>
  <c r="J4" i="5" s="1"/>
  <c r="J8" i="5"/>
  <c r="H13" i="1"/>
  <c r="H17" i="5"/>
  <c r="H6" i="5" s="1"/>
  <c r="H7" i="5" s="1"/>
  <c r="H14" i="5" s="1"/>
  <c r="H3" i="8" s="1"/>
  <c r="H6" i="8" s="1"/>
  <c r="I11" i="7"/>
  <c r="I13" i="5" s="1"/>
  <c r="I11" i="5" s="1"/>
  <c r="I10" i="5" s="1"/>
  <c r="I19" i="5" s="1"/>
  <c r="J5" i="1"/>
  <c r="J11" i="7"/>
  <c r="J13" i="5" s="1"/>
  <c r="J5" i="7"/>
  <c r="J7" i="7" s="1"/>
  <c r="J12" i="5" s="1"/>
  <c r="L22" i="7"/>
  <c r="K6" i="7"/>
  <c r="L23" i="7"/>
  <c r="L10" i="7" s="1"/>
  <c r="K10" i="7"/>
  <c r="J8" i="1"/>
  <c r="K4" i="1"/>
  <c r="L3" i="1"/>
  <c r="L4" i="7" s="1"/>
  <c r="K7" i="1"/>
  <c r="K6" i="1"/>
  <c r="K12" i="6"/>
  <c r="K4" i="6"/>
  <c r="K10" i="1"/>
  <c r="I16" i="1" l="1"/>
  <c r="I3" i="5"/>
  <c r="I5" i="5" s="1"/>
  <c r="I11" i="1"/>
  <c r="I12" i="1" s="1"/>
  <c r="I29" i="1"/>
  <c r="K15" i="1"/>
  <c r="K4" i="5" s="1"/>
  <c r="K8" i="5"/>
  <c r="J11" i="5"/>
  <c r="J10" i="5" s="1"/>
  <c r="K8" i="1"/>
  <c r="K5" i="1"/>
  <c r="K11" i="7"/>
  <c r="K13" i="5" s="1"/>
  <c r="K5" i="7"/>
  <c r="K7" i="7" s="1"/>
  <c r="K12" i="5" s="1"/>
  <c r="L6" i="7"/>
  <c r="J9" i="1"/>
  <c r="J29" i="1" s="1"/>
  <c r="L4" i="1"/>
  <c r="L7" i="1"/>
  <c r="L12" i="6"/>
  <c r="L6" i="1"/>
  <c r="L10" i="1"/>
  <c r="L4" i="6"/>
  <c r="L8" i="1" l="1"/>
  <c r="K9" i="1"/>
  <c r="K29" i="1" s="1"/>
  <c r="I13" i="1"/>
  <c r="I17" i="5"/>
  <c r="I6" i="5" s="1"/>
  <c r="I7" i="5" s="1"/>
  <c r="I14" i="5" s="1"/>
  <c r="I3" i="8" s="1"/>
  <c r="I6" i="8" s="1"/>
  <c r="L15" i="1"/>
  <c r="L4" i="5" s="1"/>
  <c r="L8" i="5"/>
  <c r="J19" i="5"/>
  <c r="K11" i="5"/>
  <c r="K10" i="5" s="1"/>
  <c r="K14" i="1"/>
  <c r="L11" i="7"/>
  <c r="L13" i="5" s="1"/>
  <c r="L5" i="7"/>
  <c r="L7" i="7" s="1"/>
  <c r="L12" i="5" s="1"/>
  <c r="L5" i="1"/>
  <c r="L9" i="1" s="1"/>
  <c r="J11" i="1"/>
  <c r="J12" i="1" s="1"/>
  <c r="J14" i="1"/>
  <c r="B28" i="1"/>
  <c r="C28" i="1"/>
  <c r="D28" i="1"/>
  <c r="E28" i="1"/>
  <c r="F28" i="1"/>
  <c r="C15" i="1"/>
  <c r="D15" i="1"/>
  <c r="E15" i="1"/>
  <c r="F15" i="1"/>
  <c r="B15" i="1"/>
  <c r="K11" i="1" l="1"/>
  <c r="K12" i="1" s="1"/>
  <c r="F4" i="6"/>
  <c r="F8" i="5" s="1"/>
  <c r="F4" i="5"/>
  <c r="F5" i="5" s="1"/>
  <c r="F6" i="5" s="1"/>
  <c r="F7" i="5" s="1"/>
  <c r="F14" i="5" s="1"/>
  <c r="F3" i="8" s="1"/>
  <c r="J16" i="1"/>
  <c r="J3" i="5"/>
  <c r="J5" i="5" s="1"/>
  <c r="C4" i="6"/>
  <c r="C8" i="5" s="1"/>
  <c r="C4" i="5"/>
  <c r="C5" i="5" s="1"/>
  <c r="C6" i="5" s="1"/>
  <c r="C7" i="5" s="1"/>
  <c r="E4" i="6"/>
  <c r="E8" i="5" s="1"/>
  <c r="E4" i="5"/>
  <c r="E5" i="5" s="1"/>
  <c r="E6" i="5" s="1"/>
  <c r="E7" i="5" s="1"/>
  <c r="D4" i="6"/>
  <c r="D8" i="5" s="1"/>
  <c r="D4" i="5"/>
  <c r="D5" i="5" s="1"/>
  <c r="J13" i="1"/>
  <c r="J17" i="5"/>
  <c r="J6" i="5" s="1"/>
  <c r="J7" i="5" s="1"/>
  <c r="J14" i="5" s="1"/>
  <c r="J3" i="8" s="1"/>
  <c r="J6" i="8" s="1"/>
  <c r="L11" i="1"/>
  <c r="L12" i="1" s="1"/>
  <c r="L29" i="1"/>
  <c r="K16" i="1"/>
  <c r="K3" i="5"/>
  <c r="K5" i="5" s="1"/>
  <c r="B4" i="6"/>
  <c r="B8" i="5" s="1"/>
  <c r="B4" i="5"/>
  <c r="B5" i="5" s="1"/>
  <c r="B6" i="5" s="1"/>
  <c r="B7" i="5" s="1"/>
  <c r="K13" i="1"/>
  <c r="K17" i="5"/>
  <c r="K6" i="5" s="1"/>
  <c r="K7" i="5" s="1"/>
  <c r="K14" i="5" s="1"/>
  <c r="K3" i="8" s="1"/>
  <c r="K6" i="8" s="1"/>
  <c r="K19" i="5"/>
  <c r="L11" i="5"/>
  <c r="L10" i="5" s="1"/>
  <c r="L14" i="1"/>
  <c r="B5" i="6"/>
  <c r="F11" i="6"/>
  <c r="F6" i="6"/>
  <c r="H3" i="6" s="1"/>
  <c r="H6" i="6" s="1"/>
  <c r="I3" i="6" s="1"/>
  <c r="I6" i="6" s="1"/>
  <c r="J3" i="6" s="1"/>
  <c r="J6" i="6" s="1"/>
  <c r="K3" i="6" s="1"/>
  <c r="K6" i="6" s="1"/>
  <c r="L3" i="6" s="1"/>
  <c r="L6" i="6" s="1"/>
  <c r="E11" i="6"/>
  <c r="E5" i="6"/>
  <c r="C11" i="6"/>
  <c r="D11" i="6"/>
  <c r="C33" i="2"/>
  <c r="D33" i="2"/>
  <c r="E33" i="2"/>
  <c r="F33" i="2"/>
  <c r="B33" i="2"/>
  <c r="C31" i="2"/>
  <c r="D31" i="2"/>
  <c r="E31" i="2"/>
  <c r="F31" i="2"/>
  <c r="B31" i="2"/>
  <c r="C29" i="2"/>
  <c r="D29" i="2"/>
  <c r="E29" i="2"/>
  <c r="F29" i="2"/>
  <c r="B29" i="2"/>
  <c r="C28" i="2"/>
  <c r="D28" i="2"/>
  <c r="E28" i="2"/>
  <c r="F28" i="2"/>
  <c r="B28" i="2"/>
  <c r="C27" i="2"/>
  <c r="D27" i="2"/>
  <c r="E27" i="2"/>
  <c r="F27" i="2"/>
  <c r="B27" i="2"/>
  <c r="C30" i="1"/>
  <c r="D30" i="1"/>
  <c r="E30" i="1"/>
  <c r="F30" i="1"/>
  <c r="C29" i="1"/>
  <c r="D29" i="1"/>
  <c r="E29" i="1"/>
  <c r="F29" i="1"/>
  <c r="B29" i="1"/>
  <c r="D5" i="6" l="1"/>
  <c r="B11" i="6"/>
  <c r="E12" i="6"/>
  <c r="E9" i="5"/>
  <c r="D12" i="6"/>
  <c r="D9" i="5"/>
  <c r="L13" i="1"/>
  <c r="L17" i="5"/>
  <c r="D6" i="5"/>
  <c r="D7" i="5" s="1"/>
  <c r="B12" i="6"/>
  <c r="B9" i="5"/>
  <c r="C5" i="6"/>
  <c r="L16" i="1"/>
  <c r="L3" i="5"/>
  <c r="L5" i="5" s="1"/>
  <c r="E14" i="5"/>
  <c r="E3" i="8" s="1"/>
  <c r="L19" i="5"/>
  <c r="D14" i="5" l="1"/>
  <c r="D3" i="8" s="1"/>
  <c r="L6" i="5"/>
  <c r="L7" i="5" s="1"/>
  <c r="L14" i="5" s="1"/>
  <c r="L3" i="8" s="1"/>
  <c r="C12" i="6"/>
  <c r="C9" i="5"/>
  <c r="C14" i="5" s="1"/>
  <c r="C3" i="8" s="1"/>
  <c r="B13" i="8" l="1"/>
  <c r="B14" i="8" s="1"/>
  <c r="L6" i="8"/>
  <c r="B10" i="8" s="1"/>
  <c r="B15" i="8" s="1"/>
  <c r="B19" i="8" s="1"/>
  <c r="B21"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5" authorId="0" shapeId="0" xr:uid="{071E2C28-DCF9-8140-B6F5-C6AAD4579618}">
      <text>
        <r>
          <rPr>
            <sz val="10"/>
            <color rgb="FF000000"/>
            <rFont val="Aptos Narrow"/>
            <scheme val="minor"/>
          </rPr>
          <t>Upon research i found that KO's CapEx for 2024 was between 2-2.1 billion.</t>
        </r>
        <r>
          <rPr>
            <sz val="10"/>
            <color rgb="FF000000"/>
            <rFont val="Aptos Narrow"/>
            <scheme val="minor"/>
          </rPr>
          <t xml:space="preserve">
</t>
        </r>
      </text>
    </comment>
    <comment ref="H5" authorId="0" shapeId="0" xr:uid="{099DB6FD-DB8A-5D4C-A87B-F1E67A56CB8A}">
      <text>
        <r>
          <rPr>
            <sz val="10"/>
            <color rgb="FF000000"/>
            <rFont val="Tahoma"/>
            <family val="2"/>
          </rPr>
          <t xml:space="preserve">Upon research I found that KO's CapEx for 2025 is approx 2.2 billion.
</t>
        </r>
      </text>
    </comment>
    <comment ref="H11" authorId="0" shapeId="0" xr:uid="{704BD353-6784-1640-98F5-A7F93EF1FAD6}">
      <text>
        <r>
          <rPr>
            <sz val="10"/>
            <color rgb="FF000000"/>
            <rFont val="Tahoma"/>
            <family val="2"/>
          </rPr>
          <t>Even with a high CapEX in the last two years, the D&amp;A has drifting down. This might be because</t>
        </r>
        <r>
          <rPr>
            <sz val="10"/>
            <color rgb="FF000000"/>
            <rFont val="Aptos Narrow"/>
            <scheme val="minor"/>
          </rPr>
          <t>New assets often</t>
        </r>
        <r>
          <rPr>
            <sz val="10"/>
            <color rgb="FF000000"/>
            <rFont val="Aptos Narrow"/>
            <scheme val="minor"/>
          </rPr>
          <t xml:space="preserve"> </t>
        </r>
        <r>
          <rPr>
            <sz val="10"/>
            <color rgb="FF000000"/>
            <rFont val="Aptos Narrow"/>
            <scheme val="minor"/>
          </rPr>
          <t>carry longer useful lives and thus lower annual depreciation per dollar than older assets they replace while older fully‑depreciated assets drop out.</t>
        </r>
      </text>
    </comment>
    <comment ref="I11" authorId="0" shapeId="0" xr:uid="{1F147BB0-619C-D249-A654-81BC0DAD50E1}">
      <text>
        <r>
          <rPr>
            <sz val="10"/>
            <color rgb="FF000000"/>
            <rFont val="Tahoma"/>
            <family val="2"/>
          </rPr>
          <t>Once KO is done with the investing heavy they will ease on the CapEX and the D&amp;A will be more or less constant as more of their capital would be new.</t>
        </r>
      </text>
    </comment>
    <comment ref="I12" authorId="0" shapeId="0" xr:uid="{BBF2A29D-0586-9A4E-83D9-834A32177152}">
      <text>
        <r>
          <rPr>
            <sz val="10"/>
            <color rgb="FF000000"/>
            <rFont val="Aptos Narrow"/>
            <scheme val="minor"/>
          </rPr>
          <t xml:space="preserve">Management is not signaling a big CapEx cut. They’re signaling a plateau around the current level (2.2B) tied to ongoing growth and productivity projects.
</t>
        </r>
        <r>
          <rPr>
            <sz val="10"/>
            <color rgb="FF000000"/>
            <rFont val="Tahoma"/>
            <family val="2"/>
          </rPr>
          <t>Given our assumption of the revenue growth in the coming years, tge CapEx will be a smaller percentage of total revenue. Therefore, it should go down.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1" authorId="0" shapeId="0" xr:uid="{BE23A72B-4EEB-6C4E-A8BD-A3164275856A}">
      <text>
        <r>
          <rPr>
            <i/>
            <sz val="10"/>
            <color rgb="FF000000"/>
            <rFont val="Aptos Narrow"/>
            <scheme val="minor"/>
          </rPr>
          <t>NWC = (Current assets − Cash and equivalents) − (Current liabilities − Short‑term debt)</t>
        </r>
      </text>
    </comment>
    <comment ref="A17" authorId="0" shapeId="0" xr:uid="{89E89A47-5CFF-0A4B-97D8-3F4D651078DE}">
      <text>
        <r>
          <rPr>
            <sz val="10"/>
            <color rgb="FF000000"/>
            <rFont val="Aptos Narrow"/>
            <scheme val="minor"/>
          </rPr>
          <t>ETR</t>
        </r>
        <r>
          <rPr>
            <sz val="10"/>
            <color rgb="FF000000"/>
            <rFont val="Aptos Narrow"/>
            <scheme val="minor"/>
          </rPr>
          <t>=</t>
        </r>
        <r>
          <rPr>
            <sz val="10"/>
            <color rgb="FF000000"/>
            <rFont val="Aptos Narrow"/>
            <scheme val="minor"/>
          </rPr>
          <t>Income taxes/Income before income taxes</t>
        </r>
      </text>
    </comment>
    <comment ref="H19" authorId="0" shapeId="0" xr:uid="{E696CF22-3866-7947-B55A-53379155B71E}">
      <text>
        <r>
          <rPr>
            <sz val="10"/>
            <color rgb="FF000000"/>
            <rFont val="Tahoma"/>
            <family val="2"/>
          </rPr>
          <t xml:space="preserve">Previous Years NWC is too high perphaps due to an one-off event. Using such an unstable metric will make our predictions vary more than they shoyld, especially for a stable compant like KO.
</t>
        </r>
        <r>
          <rPr>
            <sz val="10"/>
            <color rgb="FF000000"/>
            <rFont val="Tahoma"/>
            <family val="2"/>
          </rPr>
          <t xml:space="preserve">
</t>
        </r>
        <r>
          <rPr>
            <sz val="10"/>
            <color rgb="FF000000"/>
            <rFont val="Tahoma"/>
            <family val="2"/>
          </rPr>
          <t>So, I will manually change the NWC to levels to the ones seen before and during the forecast.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H17" authorId="0" shapeId="0" xr:uid="{4E819E95-B73C-354C-AAC3-569F7D3F3914}">
      <text>
        <r>
          <rPr>
            <sz val="10"/>
            <color rgb="FF000000"/>
            <rFont val="Tahoma"/>
            <family val="2"/>
          </rPr>
          <t xml:space="preserve">These items do not move much so we can take the average of the last 5 years for the forecast.
</t>
        </r>
        <r>
          <rPr>
            <sz val="10"/>
            <color rgb="FF000000"/>
            <rFont val="Tahoma"/>
            <family val="2"/>
          </rPr>
          <t xml:space="preserve">
</t>
        </r>
      </text>
    </comment>
    <comment ref="H21" authorId="0" shapeId="0" xr:uid="{598AD621-3F23-BD49-9E1B-1F3922CD29CE}">
      <text>
        <r>
          <rPr>
            <sz val="10"/>
            <color rgb="FF000000"/>
            <rFont val="Tahoma"/>
            <family val="2"/>
          </rPr>
          <t>Taking averages of these line items from the previous years.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21" authorId="0" shapeId="0" xr:uid="{9131D781-55CA-A34D-B652-5995F63F1339}">
      <text>
        <r>
          <rPr>
            <sz val="10"/>
            <color rgb="FF000000"/>
            <rFont val="Tahoma"/>
            <family val="2"/>
          </rPr>
          <t xml:space="preserve">KO's revenue growth after covid was driven by price/mix increases in response to inflation. 2023 onwards, they reduced the prices sharply which is reflected in the drop in revenue growth.
</t>
        </r>
        <r>
          <rPr>
            <sz val="10"/>
            <color rgb="FF000000"/>
            <rFont val="Tahoma"/>
            <family val="2"/>
          </rPr>
          <t xml:space="preserve"> </t>
        </r>
      </text>
    </comment>
    <comment ref="H21" authorId="0" shapeId="0" xr:uid="{BB919A2C-9EBC-9E4D-B122-482FB1032978}">
      <text>
        <r>
          <rPr>
            <sz val="10"/>
            <color rgb="FF000000"/>
            <rFont val="Tahoma"/>
            <family val="2"/>
          </rPr>
          <t xml:space="preserve">Using pre-covid years as proxy, KO's revenue growth has been between 2-6%.
</t>
        </r>
        <r>
          <rPr>
            <sz val="10"/>
            <color rgb="FF000000"/>
            <rFont val="Tahoma"/>
            <family val="2"/>
          </rPr>
          <t xml:space="preserve">
</t>
        </r>
        <r>
          <rPr>
            <sz val="10"/>
            <color rgb="FF000000"/>
            <rFont val="Tahoma"/>
            <family val="2"/>
          </rPr>
          <t>Since the revenue growth from last year is closer to the lower end to the range, I assume the revenue will increase gradually in the future years.</t>
        </r>
      </text>
    </comment>
    <comment ref="H22" authorId="0" shapeId="0" xr:uid="{6B97BFC8-7E33-B442-9DF0-9F4350A65374}">
      <text>
        <r>
          <rPr>
            <sz val="10"/>
            <color rgb="FF000000"/>
            <rFont val="Tahoma"/>
            <family val="2"/>
          </rPr>
          <t xml:space="preserve">The COGS as % of revenue is constant between 38.9 and 42%. Therefore, the forecast should also be in that range. 
</t>
        </r>
        <r>
          <rPr>
            <sz val="10"/>
            <color rgb="FF000000"/>
            <rFont val="Tahoma"/>
            <family val="2"/>
          </rPr>
          <t>It also seems that a higher revenue growth is associated with a higher % of COGS. Our assumptions must reflect this.</t>
        </r>
      </text>
    </comment>
    <comment ref="H23" authorId="0" shapeId="0" xr:uid="{F2BCF03F-C1E7-2B4E-AEF0-6EEEA05C013B}">
      <text>
        <r>
          <rPr>
            <sz val="10"/>
            <color rgb="FF000000"/>
            <rFont val="Tahoma"/>
            <family val="2"/>
          </rPr>
          <t xml:space="preserve">SG&amp;A Expense has been increasing gradually over the last 5 years. Since SG&amp;A is mainly fixed or slow moving, the SG&amp;A as a % of revenue increases as the revenue growth declines. 
</t>
        </r>
        <r>
          <rPr>
            <sz val="10"/>
            <color rgb="FF000000"/>
            <rFont val="Tahoma"/>
            <family val="2"/>
          </rPr>
          <t>Also KO depends heavily on marketing which means a lower revenue growth might prompt them to spend more on advertising which furthur increases the SG&amp;A.</t>
        </r>
      </text>
    </comment>
    <comment ref="E24" authorId="0" shapeId="0" xr:uid="{4CBF5296-54AF-FD48-9919-F08F012DDDDE}">
      <text>
        <r>
          <rPr>
            <sz val="10"/>
            <color rgb="FF000000"/>
            <rFont val="Tahoma"/>
            <family val="2"/>
          </rPr>
          <t>KO paid $1702 million as a contingent consideration liability to Fairlife.</t>
        </r>
      </text>
    </comment>
    <comment ref="F24" authorId="0" shapeId="0" xr:uid="{75038C08-9E29-4E4B-9B54-A782AE0915FA}">
      <text>
        <r>
          <rPr>
            <sz val="10"/>
            <color rgb="FF000000"/>
            <rFont val="Tahoma"/>
            <family val="2"/>
          </rPr>
          <t xml:space="preserve">The OEE spiked to 8.8% due to KO investing heavily in Fairlife for expansion. They also had to pay $3109 million as a contingent consideration liability. </t>
        </r>
      </text>
    </comment>
    <comment ref="H24" authorId="0" shapeId="0" xr:uid="{06BED3E1-461A-B44B-B9B2-EB534D8987FB}">
      <text>
        <r>
          <rPr>
            <sz val="10"/>
            <color rgb="FF000000"/>
            <rFont val="Tahoma"/>
            <family val="2"/>
          </rPr>
          <t xml:space="preserve">KO's CFO stated that their final payment of $6100 million to Fairlife will take place in 2025. We can assume that along with this payment KO will have about a $1000 million of other OOE which brings the total OOE for 2025 to $7100 million.
</t>
        </r>
        <r>
          <rPr>
            <sz val="10"/>
            <color rgb="FF000000"/>
            <rFont val="Tahoma"/>
            <family val="2"/>
          </rPr>
          <t xml:space="preserve">
</t>
        </r>
        <r>
          <rPr>
            <sz val="10"/>
            <color rgb="FF000000"/>
            <rFont val="Tahoma"/>
            <family val="2"/>
          </rPr>
          <t>Therefore, the OEE will be larger than usual this year and then it will revert back to its normal range of 2-3 %.</t>
        </r>
      </text>
    </comment>
    <comment ref="F25" authorId="0" shapeId="0" xr:uid="{F1E8F2F6-BA35-7D40-80D1-1B673A533086}">
      <text>
        <r>
          <rPr>
            <sz val="10"/>
            <color rgb="FF000000"/>
            <rFont val="Tahoma"/>
            <family val="2"/>
          </rPr>
          <t xml:space="preserve">Majority of the Non-Operating Income KO generated in 2024 </t>
        </r>
        <r>
          <rPr>
            <sz val="10"/>
            <color rgb="FF000000"/>
            <rFont val="Aptos Narrow"/>
            <scheme val="minor"/>
          </rPr>
          <t>came from one-off gains such as bottling stake sales.</t>
        </r>
        <r>
          <rPr>
            <sz val="10"/>
            <color rgb="FF000000"/>
            <rFont val="Aptos Narrow"/>
            <scheme val="minor"/>
          </rPr>
          <t xml:space="preserve"> Ko also owns</t>
        </r>
        <r>
          <rPr>
            <sz val="10"/>
            <color rgb="FF000000"/>
            <rFont val="Aptos Narrow"/>
            <scheme val="minor"/>
          </rPr>
          <t xml:space="preserve"> a </t>
        </r>
        <r>
          <rPr>
            <sz val="10"/>
            <color rgb="FF000000"/>
            <rFont val="Tahoma"/>
            <family val="2"/>
          </rPr>
          <t>minority stake(20-30%) in Coke bottlers such as in Latin-America(FEMSA), in Europe(HBC) and in many more countries such as Japan and Turkey. When the stock prices of these bottlers go up, KO's Non- Operating Income goes up too.</t>
        </r>
      </text>
    </comment>
    <comment ref="H25" authorId="0" shapeId="0" xr:uid="{C3292D98-9371-6747-B9FE-61357CA73D1F}">
      <text>
        <r>
          <rPr>
            <sz val="10"/>
            <color rgb="FF000000"/>
            <rFont val="Tahoma"/>
            <family val="2"/>
          </rPr>
          <t xml:space="preserve">There has been an increase in almost all the Coke bottlers in 2025, and a one-off gain from a sale of their stake in the bottlers in Africa(CCBA) of about $1411 million. This is likely to increase their Non-Operating Income in 2025.
</t>
        </r>
        <r>
          <rPr>
            <sz val="10"/>
            <color rgb="FF000000"/>
            <rFont val="Tahoma"/>
            <family val="2"/>
          </rPr>
          <t>Since this selloff is a one-time venture, this increased income will not sustain for the future years.</t>
        </r>
      </text>
    </comment>
    <comment ref="I25" authorId="0" shapeId="0" xr:uid="{38A8DDFC-77D4-A648-A68B-00DDB4817453}">
      <text>
        <r>
          <rPr>
            <sz val="10"/>
            <color rgb="FF000000"/>
            <rFont val="Tahoma"/>
            <family val="34"/>
          </rPr>
          <t xml:space="preserve">Investors such as Micheal Burry are saying that AI stocks are in bubble territory. </t>
        </r>
        <r>
          <rPr>
            <sz val="10"/>
            <color rgb="FF000000"/>
            <rFont val="Tahoma"/>
            <family val="34"/>
          </rPr>
          <t>KO can benefit on a relative basis because money often rotates into boring, cash‑generative defensives like consumer staples.</t>
        </r>
      </text>
    </comment>
    <comment ref="K25" authorId="0" shapeId="0" xr:uid="{6CEE7FE8-8CF6-1442-9A6A-32B5FA52E507}">
      <text>
        <r>
          <rPr>
            <sz val="10"/>
            <color rgb="FF000000"/>
            <rFont val="Tahoma"/>
            <family val="2"/>
          </rPr>
          <t>The aftermath of the bubble burst could see investors pulling their money out of KO and investing it back into stocks most affected by the bubble burst at a cheap prices.</t>
        </r>
      </text>
    </comment>
    <comment ref="H26" authorId="0" shapeId="0" xr:uid="{60258D1B-3B73-254A-B484-827D8DA35A5A}">
      <text>
        <r>
          <rPr>
            <sz val="10"/>
            <color rgb="FF000000"/>
            <rFont val="Aptos Narrow"/>
          </rPr>
          <t>KO is guiding to roughly ~20–21% underlying in 2025 due to global minimum tax rules.​</t>
        </r>
      </text>
    </comment>
    <comment ref="I26" authorId="0" shapeId="0" xr:uid="{251AED94-5463-A944-9CEF-EDFECC4638D6}">
      <text>
        <r>
          <rPr>
            <sz val="10"/>
            <color rgb="FF000000"/>
            <rFont val="Tahoma"/>
            <family val="2"/>
          </rPr>
          <t xml:space="preserve">Since KO earns profits all around the world, the effective tax rate changs depending on the policies of each country. For simplicity, lets take the average tax rate of the last 5 years which is 19.1%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1" authorId="0" shapeId="0" xr:uid="{D73A64B3-1D0D-2044-A84D-F2618ACFFB46}">
      <text>
        <r>
          <rPr>
            <sz val="10"/>
            <color rgb="FF000000"/>
            <rFont val="Tahoma"/>
            <family val="2"/>
          </rPr>
          <t>Lets assume that a mature company like coca-cola will have a terminal growth of 2% a year.</t>
        </r>
      </text>
    </comment>
    <comment ref="A13" authorId="0" shapeId="0" xr:uid="{DF50D8ED-6A07-0646-98FC-937A4F345E26}">
      <text>
        <r>
          <rPr>
            <sz val="10"/>
            <color rgb="FF000000"/>
            <rFont val="Tahoma"/>
            <family val="2"/>
          </rPr>
          <t>TV = (FCF*(1-g))/(WACC- g)</t>
        </r>
      </text>
    </comment>
    <comment ref="A14" authorId="0" shapeId="0" xr:uid="{B86B1803-3200-264D-AA74-87A8EA04F8B6}">
      <text>
        <r>
          <rPr>
            <sz val="10"/>
            <color rgb="FF000000"/>
            <rFont val="Tahoma"/>
            <family val="2"/>
          </rPr>
          <t xml:space="preserve">PV of TV = TV/(1+WACC)^5
</t>
        </r>
      </text>
    </comment>
    <comment ref="A18" authorId="0" shapeId="0" xr:uid="{7C987827-994D-CB4A-9644-211A20D853CC}">
      <text>
        <r>
          <rPr>
            <sz val="10"/>
            <color rgb="FF000000"/>
            <rFont val="Tahoma"/>
            <family val="2"/>
          </rPr>
          <t xml:space="preserve">KO's </t>
        </r>
        <r>
          <rPr>
            <sz val="10"/>
            <color rgb="FF000000"/>
            <rFont val="Aptos Narrow"/>
            <scheme val="minor"/>
          </rPr>
          <t xml:space="preserve">Equity Attributable to NonControlling interests </t>
        </r>
        <r>
          <rPr>
            <sz val="10"/>
            <color rgb="FF000000"/>
            <rFont val="Tahoma"/>
            <family val="2"/>
          </rPr>
          <t xml:space="preserve">in 2024 was 1516.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4" authorId="0" shapeId="0" xr:uid="{787658E2-03C5-4F44-8BC4-357D81A53884}">
      <text>
        <r>
          <rPr>
            <sz val="10"/>
            <color rgb="FF000000"/>
            <rFont val="Tahoma"/>
            <family val="2"/>
          </rPr>
          <t xml:space="preserve">Market Value = $70 * 
</t>
        </r>
        <r>
          <rPr>
            <sz val="10"/>
            <color rgb="FF000000"/>
            <rFont val="Tahoma"/>
            <family val="2"/>
          </rPr>
          <t>4.3 billion outstanding shares</t>
        </r>
      </text>
    </comment>
    <comment ref="A5" authorId="0" shapeId="0" xr:uid="{C8E9BE09-999B-594B-9E9E-C527960ED417}">
      <text>
        <r>
          <rPr>
            <sz val="10"/>
            <color rgb="FF000000"/>
            <rFont val="Aptos Narrow"/>
            <scheme val="minor"/>
          </rPr>
          <t xml:space="preserve">Short‑term debt (loans and notes payable + current maturities of long‑term debt) +
</t>
        </r>
        <r>
          <rPr>
            <sz val="10"/>
            <color rgb="FF000000"/>
            <rFont val="Aptos Narrow"/>
            <scheme val="minor"/>
          </rPr>
          <t xml:space="preserve">Long‑term debt (non‑current)
</t>
        </r>
      </text>
    </comment>
    <comment ref="A7" authorId="0" shapeId="0" xr:uid="{C4889A92-C62E-5043-8BE4-3082C7049C57}">
      <text>
        <r>
          <rPr>
            <sz val="10"/>
            <color rgb="FF000000"/>
            <rFont val="Tahoma"/>
            <family val="2"/>
          </rPr>
          <t>Interest Expense for 2024 was 1656.</t>
        </r>
      </text>
    </comment>
    <comment ref="A8" authorId="0" shapeId="0" xr:uid="{D5BEECEC-DBCE-2C4D-AD7E-E37E9F9B56E0}">
      <text>
        <r>
          <rPr>
            <sz val="10"/>
            <color rgb="FF000000"/>
            <rFont val="Tahoma"/>
            <family val="2"/>
          </rPr>
          <t xml:space="preserve">KO's tax rate bounces 
</t>
        </r>
        <r>
          <rPr>
            <sz val="10"/>
            <color rgb="FF000000"/>
            <rFont val="Tahoma"/>
            <family val="2"/>
          </rPr>
          <t xml:space="preserve">around year to year so taking the average of the last 5 years.
</t>
        </r>
      </text>
    </comment>
    <comment ref="A14" authorId="0" shapeId="0" xr:uid="{3C03B95E-6AB4-4E4C-A959-A29D441D4EE4}">
      <text>
        <r>
          <rPr>
            <sz val="10"/>
            <color rgb="FF000000"/>
            <rFont val="Aptos Narrow"/>
            <scheme val="minor"/>
          </rPr>
          <t>Common ranges for a U.S. market ERP in practice: about 4.5–6.0%. So</t>
        </r>
        <r>
          <rPr>
            <sz val="10"/>
            <color rgb="FF000000"/>
            <rFont val="Aptos Narrow"/>
            <scheme val="minor"/>
          </rPr>
          <t xml:space="preserve"> we take the average.
</t>
        </r>
      </text>
    </comment>
    <comment ref="A15" authorId="0" shapeId="0" xr:uid="{192334A8-BEBD-5143-963E-77B4BC8FC7ED}">
      <text>
        <r>
          <rPr>
            <sz val="10"/>
            <color rgb="FF000000"/>
            <rFont val="Aptos Narrow"/>
            <scheme val="minor"/>
          </rPr>
          <t>KO’s beta is around 0.6–0.7. Lets</t>
        </r>
        <r>
          <rPr>
            <sz val="10"/>
            <color rgb="FF000000"/>
            <rFont val="Aptos Narrow"/>
            <scheme val="minor"/>
          </rPr>
          <t xml:space="preserve"> take the average of the two.</t>
        </r>
      </text>
    </comment>
  </commentList>
</comments>
</file>

<file path=xl/sharedStrings.xml><?xml version="1.0" encoding="utf-8"?>
<sst xmlns="http://schemas.openxmlformats.org/spreadsheetml/2006/main" count="251" uniqueCount="140">
  <si>
    <t>Actual</t>
  </si>
  <si>
    <t>Forecast</t>
  </si>
  <si>
    <t>Line Item</t>
  </si>
  <si>
    <t>FY2020</t>
  </si>
  <si>
    <t>FY2021</t>
  </si>
  <si>
    <t>FY2022</t>
  </si>
  <si>
    <t>FY2023</t>
  </si>
  <si>
    <t>FY2024</t>
  </si>
  <si>
    <t>FY2025</t>
  </si>
  <si>
    <t>FY2026</t>
  </si>
  <si>
    <t>FY2027</t>
  </si>
  <si>
    <t>FY2028</t>
  </si>
  <si>
    <t>FY2029</t>
  </si>
  <si>
    <t>Beginnig PP&amp;E</t>
  </si>
  <si>
    <t>D&amp;A</t>
  </si>
  <si>
    <t>CapEx</t>
  </si>
  <si>
    <t>Ending PP&amp;E</t>
  </si>
  <si>
    <t>D&amp;A as % of Revenue</t>
  </si>
  <si>
    <t>CapEx as % of Revenue</t>
  </si>
  <si>
    <t>Line item</t>
  </si>
  <si>
    <t>Revenue</t>
  </si>
  <si>
    <t>COGS</t>
  </si>
  <si>
    <t xml:space="preserve">Gross Profit </t>
  </si>
  <si>
    <t>SG&amp;A Expense</t>
  </si>
  <si>
    <t>Other Operating Expenses</t>
  </si>
  <si>
    <t>Operating Expenses</t>
  </si>
  <si>
    <t xml:space="preserve">Operating Income </t>
  </si>
  <si>
    <t>Total Non-Opearting Income/Expense</t>
  </si>
  <si>
    <t>Pre-Tax Income</t>
  </si>
  <si>
    <t xml:space="preserve">Income Tax </t>
  </si>
  <si>
    <t>Net Income</t>
  </si>
  <si>
    <t>EBITDA</t>
  </si>
  <si>
    <t>Depreciation &amp; Amortization</t>
  </si>
  <si>
    <t>EBIT</t>
  </si>
  <si>
    <t>Assumptions</t>
  </si>
  <si>
    <t>Fiscal year</t>
  </si>
  <si>
    <t>Revenue Growth %</t>
  </si>
  <si>
    <t>COGS as % of Revenue</t>
  </si>
  <si>
    <t>SG&amp;A as % of Revenue</t>
  </si>
  <si>
    <t>OOE as % of Revenue</t>
  </si>
  <si>
    <t>Total Non-Operating Income as % of Revenue</t>
  </si>
  <si>
    <t>Income tax</t>
  </si>
  <si>
    <t>Gross Margin</t>
  </si>
  <si>
    <t>EBIT Margin</t>
  </si>
  <si>
    <t>Cash</t>
  </si>
  <si>
    <t>Accounts Receivable</t>
  </si>
  <si>
    <t>Inventory</t>
  </si>
  <si>
    <t>Pre-Paid Expenses</t>
  </si>
  <si>
    <t>Other Current Assets</t>
  </si>
  <si>
    <t>na</t>
  </si>
  <si>
    <t>Total Current Assets</t>
  </si>
  <si>
    <t>PP&amp;E</t>
  </si>
  <si>
    <t>Long Term Investments</t>
  </si>
  <si>
    <t>Intangibles / Other Assets</t>
  </si>
  <si>
    <t>Other Long-Term Assets</t>
  </si>
  <si>
    <t>Total Assets</t>
  </si>
  <si>
    <t>Total Current Liabilities</t>
  </si>
  <si>
    <t>Long-Term Debt</t>
  </si>
  <si>
    <t>Other Liabilities</t>
  </si>
  <si>
    <t>Total Long-Term Liabilities</t>
  </si>
  <si>
    <t>Total Liabilities</t>
  </si>
  <si>
    <t>Retained Earnings</t>
  </si>
  <si>
    <t>Comprehensive Income</t>
  </si>
  <si>
    <t>Shareholders’ Equity</t>
  </si>
  <si>
    <t>Total Liabilities and Share Holders Equity</t>
  </si>
  <si>
    <t>Current Ratio</t>
  </si>
  <si>
    <t>Quick Ratio</t>
  </si>
  <si>
    <t>Cash Ratio</t>
  </si>
  <si>
    <t>Debt to Equity Ratio</t>
  </si>
  <si>
    <t>ROE</t>
  </si>
  <si>
    <t>Total Depreciation &amp; Amortization</t>
  </si>
  <si>
    <t>Other Non-Cash Items</t>
  </si>
  <si>
    <t>Total Non-Cash Items</t>
  </si>
  <si>
    <t>Change in Assets/Liabilities</t>
  </si>
  <si>
    <t>Total change in Assets/Liabilities</t>
  </si>
  <si>
    <t>Cash Flow from Operating Activities</t>
  </si>
  <si>
    <t>Net Change in PP&amp;E</t>
  </si>
  <si>
    <t>Net Acquisitions/Divestitures</t>
  </si>
  <si>
    <t>Net Change in Short-Term Investments</t>
  </si>
  <si>
    <t>Other Investing Activities</t>
  </si>
  <si>
    <t>Cash Flow from Investing Activities</t>
  </si>
  <si>
    <t>Net Long-Term Debt</t>
  </si>
  <si>
    <t>Debt Issuance/Retirement Net</t>
  </si>
  <si>
    <t>Net Total Equity Issued/Repurchased</t>
  </si>
  <si>
    <t>Total Stock Dividends Paid</t>
  </si>
  <si>
    <t xml:space="preserve">Other Financial Activites </t>
  </si>
  <si>
    <t>Cash Flow from Financing Activities</t>
  </si>
  <si>
    <t>Net Cash Flow</t>
  </si>
  <si>
    <t>Current Assets</t>
  </si>
  <si>
    <t>Accounts Payable and Accrued Expenses</t>
  </si>
  <si>
    <t>Accrued Income Taxes</t>
  </si>
  <si>
    <t>Data source - Macrotrends</t>
  </si>
  <si>
    <t>Fiscal years - 2020 to 2024</t>
  </si>
  <si>
    <t>Days Sales Outstanding</t>
  </si>
  <si>
    <t>Days Inventory Outstanding</t>
  </si>
  <si>
    <t>Days Payable Outstanding</t>
  </si>
  <si>
    <t>Pre-Paid Expenses as % of Revenue</t>
  </si>
  <si>
    <t>Accrued Income Taxes as % of Revenue</t>
  </si>
  <si>
    <t>Depreciation and Amortization</t>
  </si>
  <si>
    <t>Opearating Profit (EBIT)</t>
  </si>
  <si>
    <t>Operating Taxes</t>
  </si>
  <si>
    <t>Effective Tax Rate</t>
  </si>
  <si>
    <t>Net Operating Income After Taxes (NOPAT)</t>
  </si>
  <si>
    <t>(+) Depreciation and Amortization</t>
  </si>
  <si>
    <t>(-) Capital Expenditure</t>
  </si>
  <si>
    <t>(-) Change in NWC</t>
  </si>
  <si>
    <t>NWC</t>
  </si>
  <si>
    <t>Curent Liabilities</t>
  </si>
  <si>
    <t>Unlevered Free Cash Flow</t>
  </si>
  <si>
    <t>Weighted Average Cost of Capital (WACC)</t>
  </si>
  <si>
    <t>Equity</t>
  </si>
  <si>
    <t>Debt</t>
  </si>
  <si>
    <t>Cost of Debt</t>
  </si>
  <si>
    <t>Tax Rate</t>
  </si>
  <si>
    <t>D/(D+E)</t>
  </si>
  <si>
    <t>After Tax Cost of Debt</t>
  </si>
  <si>
    <t>Risk Free Rate (10-Yr Treasury Yield)</t>
  </si>
  <si>
    <t>Expected Market Return</t>
  </si>
  <si>
    <t>Equity Risk Premium</t>
  </si>
  <si>
    <t>Levered Beta</t>
  </si>
  <si>
    <t>E/(D+E)</t>
  </si>
  <si>
    <t>Cost of Equity</t>
  </si>
  <si>
    <t>WACC</t>
  </si>
  <si>
    <t>Projection Year</t>
  </si>
  <si>
    <t>Present Value of Free Cash Flow</t>
  </si>
  <si>
    <t>Implied Share Price Calculation</t>
  </si>
  <si>
    <t>Sum of PV of FCF</t>
  </si>
  <si>
    <t>Growth Rate</t>
  </si>
  <si>
    <t>Terminal Value</t>
  </si>
  <si>
    <t>PV of Terminal Value</t>
  </si>
  <si>
    <t>Entreprise Value</t>
  </si>
  <si>
    <t>(+) Cash</t>
  </si>
  <si>
    <t>(-) Debt</t>
  </si>
  <si>
    <t>(-) Minority Interest</t>
  </si>
  <si>
    <t>Equity Value</t>
  </si>
  <si>
    <t>Diluted Shares Outstanding</t>
  </si>
  <si>
    <t>Implied Share Price</t>
  </si>
  <si>
    <t>Change in NWC as % of Revenue</t>
  </si>
  <si>
    <t>Net Income Margin</t>
  </si>
  <si>
    <t>Note : Free cash flow is driven by normalized ΔNWC assumptions to avoid distortion from one-off working capital swings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</si>
</sst>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409]* #,##0.00_);_([$$-409]* \(#,##0.00\);_([$$-409]* &quot;-&quot;??_);_(@_)"/>
    <numFmt numFmtId="165" formatCode="_([$$-409]* #,##0_);_([$$-409]* \(#,##0\);_([$$-409]* &quot;-&quot;_);_(@_)"/>
    <numFmt numFmtId="166" formatCode="0.0%"/>
    <numFmt numFmtId="172" formatCode="#,##0.0_);\(#,##0.0\)"/>
    <numFmt numFmtId="173" formatCode="0.0"/>
  </numFmts>
  <fonts count="19" x14ac:knownFonts="1">
    <font>
      <sz val="11"/>
      <color theme="1"/>
      <name val="Aptos Narrow"/>
      <family val="2"/>
      <scheme val="minor"/>
    </font>
    <font>
      <sz val="12"/>
      <color theme="1"/>
      <name val="Aptos Narrow"/>
      <family val="2"/>
      <scheme val="minor"/>
    </font>
    <font>
      <sz val="12"/>
      <color theme="1"/>
      <name val="Aptos Narrow"/>
      <scheme val="minor"/>
    </font>
    <font>
      <b/>
      <sz val="12"/>
      <color theme="1"/>
      <name val="Aptos Narrow"/>
      <scheme val="minor"/>
    </font>
    <font>
      <sz val="12"/>
      <name val="Aptos Narrow"/>
    </font>
    <font>
      <sz val="8"/>
      <name val="Aptos Narrow"/>
      <family val="2"/>
      <scheme val="minor"/>
    </font>
    <font>
      <sz val="10"/>
      <color rgb="FF000000"/>
      <name val="Tahoma"/>
      <family val="2"/>
    </font>
    <font>
      <sz val="10"/>
      <color rgb="FF000000"/>
      <name val="Aptos Narrow"/>
      <scheme val="minor"/>
    </font>
    <font>
      <sz val="10"/>
      <color rgb="FF000000"/>
      <name val="Tahoma"/>
      <family val="34"/>
    </font>
    <font>
      <sz val="12"/>
      <color theme="1"/>
      <name val="Aptos"/>
    </font>
    <font>
      <b/>
      <sz val="12"/>
      <color theme="1"/>
      <name val="Aptos"/>
    </font>
    <font>
      <sz val="12"/>
      <name val="Aptos"/>
    </font>
    <font>
      <i/>
      <sz val="10"/>
      <color rgb="FF000000"/>
      <name val="Aptos Narrow"/>
      <scheme val="minor"/>
    </font>
    <font>
      <sz val="10"/>
      <color rgb="FF000000"/>
      <name val="Aptos Narrow"/>
    </font>
    <font>
      <sz val="12"/>
      <color rgb="FF0070C0"/>
      <name val="Aptos"/>
    </font>
    <font>
      <b/>
      <sz val="12"/>
      <color rgb="FF0070C0"/>
      <name val="Aptos"/>
    </font>
    <font>
      <b/>
      <sz val="12"/>
      <name val="Aptos"/>
    </font>
    <font>
      <b/>
      <sz val="12"/>
      <color rgb="FF000000"/>
      <name val="Aptos"/>
    </font>
    <font>
      <sz val="12"/>
      <color rgb="FF00B050"/>
      <name val="Aptos"/>
    </font>
  </fonts>
  <fills count="3">
    <fill>
      <patternFill patternType="none"/>
    </fill>
    <fill>
      <patternFill patternType="gray125"/>
    </fill>
    <fill>
      <patternFill patternType="solid">
        <fgColor theme="4" tint="0.79998168889431442"/>
        <bgColor indexed="64"/>
      </patternFill>
    </fill>
  </fills>
  <borders count="6">
    <border>
      <left/>
      <right/>
      <top/>
      <bottom/>
      <diagonal/>
    </border>
    <border>
      <left/>
      <right/>
      <top style="thin">
        <color indexed="64"/>
      </top>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97">
    <xf numFmtId="0" fontId="0" fillId="0" borderId="0" xfId="0"/>
    <xf numFmtId="165" fontId="4" fillId="0" borderId="0" xfId="0" applyNumberFormat="1" applyFont="1"/>
    <xf numFmtId="0" fontId="9" fillId="0" borderId="0" xfId="0" applyFont="1"/>
    <xf numFmtId="0" fontId="10" fillId="0" borderId="0" xfId="0" applyFont="1"/>
    <xf numFmtId="0" fontId="10" fillId="0" borderId="3" xfId="0" applyFont="1" applyBorder="1"/>
    <xf numFmtId="0" fontId="10" fillId="0" borderId="3" xfId="0" applyFont="1" applyBorder="1" applyAlignment="1">
      <alignment horizontal="center"/>
    </xf>
    <xf numFmtId="0" fontId="10" fillId="0" borderId="2" xfId="0" applyFont="1" applyBorder="1"/>
    <xf numFmtId="165" fontId="10" fillId="0" borderId="2" xfId="0" applyNumberFormat="1" applyFont="1" applyBorder="1"/>
    <xf numFmtId="165" fontId="4" fillId="0" borderId="2" xfId="0" applyNumberFormat="1" applyFont="1" applyBorder="1"/>
    <xf numFmtId="0" fontId="11" fillId="0" borderId="0" xfId="0" applyFont="1"/>
    <xf numFmtId="0" fontId="10" fillId="0" borderId="4" xfId="0" applyFont="1" applyBorder="1"/>
    <xf numFmtId="165" fontId="9" fillId="0" borderId="0" xfId="0" applyNumberFormat="1" applyFont="1" applyAlignment="1">
      <alignment horizontal="center"/>
    </xf>
    <xf numFmtId="0" fontId="10" fillId="0" borderId="0" xfId="0" applyFont="1" applyAlignment="1">
      <alignment horizontal="center"/>
    </xf>
    <xf numFmtId="0" fontId="10" fillId="0" borderId="0" xfId="0" applyFont="1" applyAlignment="1">
      <alignment horizontal="center"/>
    </xf>
    <xf numFmtId="0" fontId="1" fillId="0" borderId="0" xfId="0" applyFont="1"/>
    <xf numFmtId="0" fontId="10" fillId="0" borderId="0" xfId="0" applyFont="1" applyBorder="1" applyAlignment="1">
      <alignment horizontal="center"/>
    </xf>
    <xf numFmtId="0" fontId="9" fillId="0" borderId="0" xfId="0" applyFont="1" applyBorder="1"/>
    <xf numFmtId="0" fontId="10" fillId="0" borderId="0" xfId="0" applyFont="1" applyBorder="1"/>
    <xf numFmtId="0" fontId="9" fillId="0" borderId="0" xfId="0" applyFont="1" applyBorder="1" applyAlignment="1">
      <alignment horizontal="center"/>
    </xf>
    <xf numFmtId="165" fontId="2" fillId="0" borderId="0" xfId="0" applyNumberFormat="1" applyFont="1" applyBorder="1" applyAlignment="1">
      <alignment horizontal="center"/>
    </xf>
    <xf numFmtId="0" fontId="9" fillId="0" borderId="0" xfId="0" applyFont="1" applyAlignment="1">
      <alignment horizontal="center"/>
    </xf>
    <xf numFmtId="0" fontId="9" fillId="0" borderId="0" xfId="0" applyFont="1" applyBorder="1" applyAlignment="1">
      <alignment horizontal="left"/>
    </xf>
    <xf numFmtId="0" fontId="10" fillId="0" borderId="3" xfId="0" applyFont="1" applyBorder="1" applyAlignment="1">
      <alignment horizontal="left"/>
    </xf>
    <xf numFmtId="0" fontId="9" fillId="0" borderId="0" xfId="0" applyFont="1" applyAlignment="1">
      <alignment horizontal="left"/>
    </xf>
    <xf numFmtId="0" fontId="9" fillId="0" borderId="0" xfId="0" applyFont="1" applyAlignment="1">
      <alignment horizontal="center"/>
    </xf>
    <xf numFmtId="0" fontId="9" fillId="0" borderId="3" xfId="0" applyFont="1" applyBorder="1" applyAlignment="1">
      <alignment horizontal="center"/>
    </xf>
    <xf numFmtId="1" fontId="9" fillId="0" borderId="0" xfId="0" applyNumberFormat="1" applyFont="1"/>
    <xf numFmtId="0" fontId="9" fillId="0" borderId="0" xfId="0" applyFont="1" applyBorder="1" applyAlignment="1"/>
    <xf numFmtId="0" fontId="9" fillId="0" borderId="4" xfId="0" applyFont="1" applyBorder="1"/>
    <xf numFmtId="0" fontId="10" fillId="0" borderId="5" xfId="0" applyFont="1" applyBorder="1"/>
    <xf numFmtId="0" fontId="10" fillId="0" borderId="1" xfId="0" applyFont="1" applyBorder="1"/>
    <xf numFmtId="3" fontId="9" fillId="0" borderId="0" xfId="0" applyNumberFormat="1" applyFont="1" applyAlignment="1">
      <alignment horizontal="center"/>
    </xf>
    <xf numFmtId="166" fontId="9" fillId="0" borderId="0" xfId="0" applyNumberFormat="1" applyFont="1" applyAlignment="1">
      <alignment horizontal="center"/>
    </xf>
    <xf numFmtId="166" fontId="10" fillId="0" borderId="5" xfId="0" applyNumberFormat="1" applyFont="1" applyBorder="1" applyAlignment="1">
      <alignment horizontal="center"/>
    </xf>
    <xf numFmtId="0" fontId="10" fillId="0" borderId="5" xfId="0" applyFont="1" applyBorder="1" applyAlignment="1">
      <alignment horizontal="center"/>
    </xf>
    <xf numFmtId="0" fontId="10" fillId="2" borderId="5" xfId="0" applyFont="1" applyFill="1" applyBorder="1"/>
    <xf numFmtId="166" fontId="10" fillId="2" borderId="5" xfId="0" applyNumberFormat="1" applyFont="1" applyFill="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left"/>
    </xf>
    <xf numFmtId="0" fontId="10" fillId="0" borderId="5" xfId="0" applyFont="1" applyBorder="1" applyAlignment="1">
      <alignment horizontal="left"/>
    </xf>
    <xf numFmtId="0" fontId="9" fillId="0" borderId="0" xfId="0" applyFont="1" applyAlignment="1">
      <alignment horizontal="left" indent="1"/>
    </xf>
    <xf numFmtId="165" fontId="3" fillId="0" borderId="5" xfId="0" applyNumberFormat="1" applyFont="1" applyBorder="1" applyAlignment="1">
      <alignment horizontal="center"/>
    </xf>
    <xf numFmtId="172" fontId="9" fillId="0" borderId="0" xfId="0" applyNumberFormat="1" applyFont="1" applyAlignment="1">
      <alignment horizontal="center"/>
    </xf>
    <xf numFmtId="173" fontId="9" fillId="0" borderId="0" xfId="0" applyNumberFormat="1" applyFont="1" applyAlignment="1">
      <alignment horizontal="center"/>
    </xf>
    <xf numFmtId="173" fontId="9" fillId="0" borderId="5" xfId="0" applyNumberFormat="1" applyFont="1" applyBorder="1" applyAlignment="1">
      <alignment horizontal="center"/>
    </xf>
    <xf numFmtId="0" fontId="10" fillId="0" borderId="4" xfId="0" applyFont="1" applyBorder="1" applyAlignment="1">
      <alignment horizontal="center"/>
    </xf>
    <xf numFmtId="173" fontId="9" fillId="0" borderId="0" xfId="0" applyNumberFormat="1" applyFont="1" applyBorder="1" applyAlignment="1">
      <alignment horizontal="center"/>
    </xf>
    <xf numFmtId="0" fontId="9" fillId="0" borderId="1" xfId="0" applyFont="1" applyBorder="1" applyAlignment="1">
      <alignment horizontal="left"/>
    </xf>
    <xf numFmtId="173" fontId="9" fillId="0" borderId="1" xfId="0" applyNumberFormat="1" applyFont="1" applyBorder="1" applyAlignment="1">
      <alignment horizontal="center"/>
    </xf>
    <xf numFmtId="0" fontId="9" fillId="2" borderId="4" xfId="0" applyFont="1" applyFill="1" applyBorder="1" applyAlignment="1">
      <alignment horizontal="left"/>
    </xf>
    <xf numFmtId="173" fontId="9" fillId="2" borderId="4" xfId="0" applyNumberFormat="1" applyFont="1" applyFill="1" applyBorder="1" applyAlignment="1">
      <alignment horizontal="center"/>
    </xf>
    <xf numFmtId="166" fontId="9" fillId="0" borderId="0" xfId="0" applyNumberFormat="1" applyFont="1" applyBorder="1" applyAlignment="1">
      <alignment horizontal="center"/>
    </xf>
    <xf numFmtId="0" fontId="10" fillId="0" borderId="0" xfId="0" applyFont="1" applyAlignment="1"/>
    <xf numFmtId="165" fontId="14" fillId="0" borderId="0" xfId="0" applyNumberFormat="1" applyFont="1" applyAlignment="1">
      <alignment horizontal="center"/>
    </xf>
    <xf numFmtId="165" fontId="11" fillId="0" borderId="4" xfId="0" applyNumberFormat="1" applyFont="1" applyBorder="1" applyAlignment="1">
      <alignment horizontal="center"/>
    </xf>
    <xf numFmtId="165" fontId="10" fillId="0" borderId="0" xfId="0" applyNumberFormat="1" applyFont="1" applyAlignment="1">
      <alignment horizontal="center"/>
    </xf>
    <xf numFmtId="165" fontId="11" fillId="0" borderId="0" xfId="0" applyNumberFormat="1" applyFont="1" applyAlignment="1">
      <alignment horizontal="center"/>
    </xf>
    <xf numFmtId="0" fontId="10" fillId="0" borderId="2" xfId="0" applyFont="1" applyBorder="1" applyAlignment="1">
      <alignment horizontal="center"/>
    </xf>
    <xf numFmtId="165" fontId="10" fillId="0" borderId="2" xfId="0" applyNumberFormat="1" applyFont="1" applyBorder="1" applyAlignment="1">
      <alignment horizontal="center"/>
    </xf>
    <xf numFmtId="0" fontId="9" fillId="2" borderId="0" xfId="0" applyFont="1" applyFill="1" applyAlignment="1"/>
    <xf numFmtId="166" fontId="9" fillId="2" borderId="0" xfId="0" applyNumberFormat="1" applyFont="1" applyFill="1" applyAlignment="1">
      <alignment horizontal="center"/>
    </xf>
    <xf numFmtId="0" fontId="9" fillId="2" borderId="0" xfId="0" applyFont="1" applyFill="1" applyAlignment="1">
      <alignment horizontal="center"/>
    </xf>
    <xf numFmtId="165" fontId="15" fillId="0" borderId="2" xfId="0" applyNumberFormat="1" applyFont="1" applyBorder="1" applyAlignment="1">
      <alignment horizontal="center"/>
    </xf>
    <xf numFmtId="165" fontId="16" fillId="0" borderId="2" xfId="0" applyNumberFormat="1" applyFont="1" applyBorder="1" applyAlignment="1">
      <alignment horizontal="center"/>
    </xf>
    <xf numFmtId="0" fontId="11" fillId="0" borderId="0" xfId="0" applyFont="1" applyAlignment="1">
      <alignment horizontal="center"/>
    </xf>
    <xf numFmtId="37" fontId="9" fillId="0" borderId="0" xfId="0" applyNumberFormat="1" applyFont="1" applyAlignment="1">
      <alignment horizontal="center"/>
    </xf>
    <xf numFmtId="0" fontId="17" fillId="0" borderId="0" xfId="0" applyFont="1" applyAlignment="1">
      <alignment horizontal="center"/>
    </xf>
    <xf numFmtId="165" fontId="15" fillId="0" borderId="0" xfId="0" applyNumberFormat="1" applyFont="1" applyAlignment="1">
      <alignment horizontal="center"/>
    </xf>
    <xf numFmtId="165" fontId="16" fillId="0" borderId="0" xfId="0" applyNumberFormat="1" applyFont="1" applyAlignment="1">
      <alignment horizontal="center"/>
    </xf>
    <xf numFmtId="0" fontId="9" fillId="0" borderId="4" xfId="0" applyFont="1" applyBorder="1" applyAlignment="1">
      <alignment horizontal="left" indent="1"/>
    </xf>
    <xf numFmtId="165" fontId="14" fillId="0" borderId="4" xfId="0" applyNumberFormat="1" applyFont="1" applyBorder="1" applyAlignment="1">
      <alignment horizontal="center"/>
    </xf>
    <xf numFmtId="165" fontId="14" fillId="0" borderId="0" xfId="0" applyNumberFormat="1" applyFont="1" applyBorder="1" applyAlignment="1">
      <alignment horizontal="center"/>
    </xf>
    <xf numFmtId="165" fontId="9" fillId="0" borderId="0" xfId="0" applyNumberFormat="1" applyFont="1" applyBorder="1" applyAlignment="1">
      <alignment horizontal="center"/>
    </xf>
    <xf numFmtId="165" fontId="15" fillId="0" borderId="0" xfId="0" applyNumberFormat="1" applyFont="1" applyBorder="1" applyAlignment="1">
      <alignment horizontal="center"/>
    </xf>
    <xf numFmtId="165" fontId="10" fillId="0" borderId="0" xfId="0" applyNumberFormat="1" applyFont="1" applyBorder="1" applyAlignment="1">
      <alignment horizontal="center"/>
    </xf>
    <xf numFmtId="0" fontId="10" fillId="2" borderId="0" xfId="0" applyFont="1" applyFill="1" applyAlignment="1">
      <alignment horizontal="center"/>
    </xf>
    <xf numFmtId="0" fontId="10" fillId="2" borderId="0" xfId="0" applyFont="1" applyFill="1" applyAlignment="1">
      <alignment horizontal="center"/>
    </xf>
    <xf numFmtId="0" fontId="10" fillId="2" borderId="3" xfId="0" applyFont="1" applyFill="1" applyBorder="1"/>
    <xf numFmtId="165" fontId="16" fillId="2" borderId="3" xfId="0" applyNumberFormat="1" applyFont="1" applyFill="1" applyBorder="1" applyAlignment="1">
      <alignment horizontal="center"/>
    </xf>
    <xf numFmtId="0" fontId="10" fillId="2" borderId="3" xfId="0" applyFont="1" applyFill="1" applyBorder="1" applyAlignment="1">
      <alignment horizontal="center"/>
    </xf>
    <xf numFmtId="0" fontId="9" fillId="2" borderId="0" xfId="0" applyFont="1" applyFill="1"/>
    <xf numFmtId="166" fontId="11" fillId="2" borderId="0" xfId="0" applyNumberFormat="1" applyFont="1" applyFill="1" applyAlignment="1">
      <alignment horizontal="center"/>
    </xf>
    <xf numFmtId="9" fontId="9" fillId="0" borderId="0" xfId="0" applyNumberFormat="1" applyFont="1" applyAlignment="1">
      <alignment horizontal="center"/>
    </xf>
    <xf numFmtId="9" fontId="9" fillId="0" borderId="0" xfId="0" applyNumberFormat="1" applyFont="1"/>
    <xf numFmtId="165" fontId="14" fillId="0" borderId="0" xfId="0" applyNumberFormat="1" applyFont="1"/>
    <xf numFmtId="165" fontId="14" fillId="0" borderId="4" xfId="0" applyNumberFormat="1" applyFont="1" applyBorder="1"/>
    <xf numFmtId="165" fontId="15" fillId="0" borderId="0" xfId="0" applyNumberFormat="1" applyFont="1" applyBorder="1"/>
    <xf numFmtId="165" fontId="15" fillId="0" borderId="2" xfId="0" applyNumberFormat="1" applyFont="1" applyBorder="1"/>
    <xf numFmtId="0" fontId="9" fillId="0" borderId="0" xfId="0" applyFont="1" applyAlignment="1">
      <alignment horizontal="left" indent="2"/>
    </xf>
    <xf numFmtId="0" fontId="9" fillId="0" borderId="0" xfId="0" applyFont="1" applyBorder="1" applyAlignment="1">
      <alignment horizontal="left" indent="1"/>
    </xf>
    <xf numFmtId="165" fontId="14" fillId="0" borderId="0" xfId="0" applyNumberFormat="1" applyFont="1" applyBorder="1"/>
    <xf numFmtId="165" fontId="15" fillId="0" borderId="1" xfId="0" applyNumberFormat="1" applyFont="1" applyBorder="1"/>
    <xf numFmtId="165" fontId="15" fillId="0" borderId="5" xfId="0" applyNumberFormat="1" applyFont="1" applyBorder="1"/>
    <xf numFmtId="164" fontId="9" fillId="0" borderId="0" xfId="0" applyNumberFormat="1" applyFont="1"/>
    <xf numFmtId="43" fontId="9" fillId="0" borderId="0" xfId="0" applyNumberFormat="1" applyFont="1"/>
    <xf numFmtId="9" fontId="18" fillId="0" borderId="0" xfId="0" applyNumberFormat="1" applyFont="1"/>
    <xf numFmtId="165" fontId="15"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335643</xdr:colOff>
      <xdr:row>1</xdr:row>
      <xdr:rowOff>108857</xdr:rowOff>
    </xdr:from>
    <xdr:to>
      <xdr:col>6</xdr:col>
      <xdr:colOff>515258</xdr:colOff>
      <xdr:row>1</xdr:row>
      <xdr:rowOff>112939</xdr:rowOff>
    </xdr:to>
    <xdr:cxnSp macro="">
      <xdr:nvCxnSpPr>
        <xdr:cNvPr id="2" name="Straight Connector 1">
          <a:extLst>
            <a:ext uri="{FF2B5EF4-FFF2-40B4-BE49-F238E27FC236}">
              <a16:creationId xmlns:a16="http://schemas.microsoft.com/office/drawing/2014/main" id="{AD4C1040-2BE6-264A-A3A6-C275CFCF6743}"/>
            </a:ext>
          </a:extLst>
        </xdr:cNvPr>
        <xdr:cNvCxnSpPr>
          <a:cxnSpLocks/>
        </xdr:cNvCxnSpPr>
      </xdr:nvCxnSpPr>
      <xdr:spPr>
        <a:xfrm flipV="1">
          <a:off x="5288643" y="308428"/>
          <a:ext cx="179615" cy="4082"/>
        </a:xfrm>
        <a:prstGeom prst="line">
          <a:avLst/>
        </a:prstGeom>
        <a:ln>
          <a:no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87245</xdr:colOff>
      <xdr:row>15</xdr:row>
      <xdr:rowOff>48902</xdr:rowOff>
    </xdr:from>
    <xdr:ext cx="45719" cy="45719"/>
    <xdr:sp macro="" textlink="">
      <xdr:nvSpPr>
        <xdr:cNvPr id="6" name="TextBox 5">
          <a:extLst>
            <a:ext uri="{FF2B5EF4-FFF2-40B4-BE49-F238E27FC236}">
              <a16:creationId xmlns:a16="http://schemas.microsoft.com/office/drawing/2014/main" id="{BD604D94-45EC-28A8-11FB-DF87F921DF9F}"/>
            </a:ext>
          </a:extLst>
        </xdr:cNvPr>
        <xdr:cNvSpPr txBox="1"/>
      </xdr:nvSpPr>
      <xdr:spPr>
        <a:xfrm rot="20835371" flipH="1">
          <a:off x="6709388" y="3060616"/>
          <a:ext cx="45719"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b="0" i="0">
            <a:latin typeface="Aptos" panose="020B0004020202020204" pitchFamily="34" charset="0"/>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3E6AA-5CF3-C444-9094-A6F175F39B22}">
  <dimension ref="A1:L12"/>
  <sheetViews>
    <sheetView showGridLines="0" zoomScale="140" zoomScaleNormal="140" workbookViewId="0">
      <selection activeCell="F25" sqref="F25"/>
    </sheetView>
  </sheetViews>
  <sheetFormatPr baseColWidth="10" defaultColWidth="10.83203125" defaultRowHeight="16" x14ac:dyDescent="0.2"/>
  <cols>
    <col min="1" max="1" width="26.6640625" style="2" bestFit="1" customWidth="1"/>
    <col min="2" max="2" width="10.1640625" style="2" customWidth="1"/>
    <col min="3" max="16384" width="10.83203125" style="2"/>
  </cols>
  <sheetData>
    <row r="1" spans="1:12" s="3" customFormat="1" x14ac:dyDescent="0.2">
      <c r="A1" s="52"/>
      <c r="B1" s="13" t="s">
        <v>0</v>
      </c>
      <c r="C1" s="13"/>
      <c r="D1" s="13"/>
      <c r="E1" s="13"/>
      <c r="F1" s="13"/>
      <c r="H1" s="13" t="s">
        <v>1</v>
      </c>
      <c r="I1" s="13"/>
      <c r="J1" s="13"/>
      <c r="K1" s="13"/>
      <c r="L1" s="13"/>
    </row>
    <row r="2" spans="1:12" s="17" customFormat="1" ht="17" thickBot="1" x14ac:dyDescent="0.25">
      <c r="A2" s="4" t="s">
        <v>2</v>
      </c>
      <c r="B2" s="4" t="s">
        <v>3</v>
      </c>
      <c r="C2" s="4" t="s">
        <v>4</v>
      </c>
      <c r="D2" s="4" t="s">
        <v>5</v>
      </c>
      <c r="E2" s="4" t="s">
        <v>6</v>
      </c>
      <c r="F2" s="4" t="s">
        <v>7</v>
      </c>
      <c r="G2" s="4"/>
      <c r="H2" s="5" t="s">
        <v>8</v>
      </c>
      <c r="I2" s="5" t="s">
        <v>9</v>
      </c>
      <c r="J2" s="5" t="s">
        <v>10</v>
      </c>
      <c r="K2" s="5" t="s">
        <v>11</v>
      </c>
      <c r="L2" s="5" t="s">
        <v>12</v>
      </c>
    </row>
    <row r="3" spans="1:12" x14ac:dyDescent="0.2">
      <c r="A3" s="2" t="s">
        <v>13</v>
      </c>
      <c r="B3" s="1">
        <f>'BS_ Historical'!B9</f>
        <v>10777</v>
      </c>
      <c r="C3" s="1">
        <f>'BS_ Historical'!C9</f>
        <v>9920</v>
      </c>
      <c r="D3" s="1">
        <f>'BS_ Historical'!D9</f>
        <v>9841</v>
      </c>
      <c r="E3" s="1">
        <f>'BS_ Historical'!E9</f>
        <v>9236</v>
      </c>
      <c r="F3" s="1">
        <f>'BS_ Historical'!F9</f>
        <v>10303</v>
      </c>
      <c r="H3" s="11">
        <f>F6</f>
        <v>11278</v>
      </c>
      <c r="I3" s="11">
        <f>H6</f>
        <v>12465.011974999999</v>
      </c>
      <c r="J3" s="11">
        <f>I6</f>
        <v>13635.177962</v>
      </c>
      <c r="K3" s="11">
        <f t="shared" ref="K3:L3" si="0">J6</f>
        <v>14817.565722591849</v>
      </c>
      <c r="L3" s="11">
        <f t="shared" si="0"/>
        <v>15906.433268834786</v>
      </c>
    </row>
    <row r="4" spans="1:12" x14ac:dyDescent="0.2">
      <c r="A4" s="2" t="s">
        <v>14</v>
      </c>
      <c r="B4" s="1">
        <f>IS_Historical!B15</f>
        <v>1536</v>
      </c>
      <c r="C4" s="1">
        <f>IS_Historical!C15</f>
        <v>1452</v>
      </c>
      <c r="D4" s="1">
        <f>IS_Historical!D15</f>
        <v>1260</v>
      </c>
      <c r="E4" s="1">
        <f>IS_Historical!E15</f>
        <v>1128</v>
      </c>
      <c r="F4" s="1">
        <f>IS_Historical!F15</f>
        <v>1075</v>
      </c>
      <c r="H4" s="1">
        <f>H11*IS_Historical!H3</f>
        <v>1012.988025</v>
      </c>
      <c r="I4" s="1">
        <f>I11*IS_Historical!I3</f>
        <v>989.8340129999998</v>
      </c>
      <c r="J4" s="1">
        <f>J11*IS_Historical!J3</f>
        <v>967.61223940814978</v>
      </c>
      <c r="K4" s="1">
        <f>K11*IS_Historical!K3</f>
        <v>1051.1324537570638</v>
      </c>
      <c r="L4" s="1">
        <f>L11*IS_Historical!L3</f>
        <v>1142.3181941204889</v>
      </c>
    </row>
    <row r="5" spans="1:12" x14ac:dyDescent="0.2">
      <c r="A5" s="2" t="s">
        <v>15</v>
      </c>
      <c r="B5" s="1">
        <f>B6+B4-B3</f>
        <v>679</v>
      </c>
      <c r="C5" s="1">
        <f t="shared" ref="C5:E5" si="1">C6+C4-C3</f>
        <v>1373</v>
      </c>
      <c r="D5" s="1">
        <f t="shared" si="1"/>
        <v>655</v>
      </c>
      <c r="E5" s="1">
        <f t="shared" si="1"/>
        <v>2195</v>
      </c>
      <c r="F5" s="1">
        <v>2050</v>
      </c>
      <c r="G5" s="9"/>
      <c r="H5" s="1">
        <v>2200</v>
      </c>
      <c r="I5" s="1">
        <v>2160</v>
      </c>
      <c r="J5" s="1">
        <v>2150</v>
      </c>
      <c r="K5" s="1">
        <v>2140</v>
      </c>
      <c r="L5" s="1">
        <v>2130</v>
      </c>
    </row>
    <row r="6" spans="1:12" s="17" customFormat="1" ht="17" thickBot="1" x14ac:dyDescent="0.25">
      <c r="A6" s="6" t="s">
        <v>16</v>
      </c>
      <c r="B6" s="8">
        <f>C3</f>
        <v>9920</v>
      </c>
      <c r="C6" s="8">
        <f t="shared" ref="C6:E6" si="2">D3</f>
        <v>9841</v>
      </c>
      <c r="D6" s="8">
        <f t="shared" si="2"/>
        <v>9236</v>
      </c>
      <c r="E6" s="8">
        <f t="shared" si="2"/>
        <v>10303</v>
      </c>
      <c r="F6" s="8">
        <f>F3-F4+F5</f>
        <v>11278</v>
      </c>
      <c r="G6" s="6"/>
      <c r="H6" s="7">
        <f>H3-H4+H5</f>
        <v>12465.011974999999</v>
      </c>
      <c r="I6" s="7">
        <f>I3-I4+I5</f>
        <v>13635.177962</v>
      </c>
      <c r="J6" s="7">
        <f t="shared" ref="J6:L6" si="3">J3-J4+J5</f>
        <v>14817.565722591849</v>
      </c>
      <c r="K6" s="7">
        <f t="shared" si="3"/>
        <v>15906.433268834786</v>
      </c>
      <c r="L6" s="7">
        <f t="shared" si="3"/>
        <v>16894.115074714296</v>
      </c>
    </row>
    <row r="7" spans="1:12" x14ac:dyDescent="0.2">
      <c r="B7" s="9"/>
      <c r="C7" s="9"/>
      <c r="D7" s="9"/>
      <c r="E7" s="9"/>
      <c r="F7" s="9"/>
    </row>
    <row r="10" spans="1:12" s="17" customFormat="1" x14ac:dyDescent="0.2">
      <c r="A10" s="10" t="s">
        <v>2</v>
      </c>
      <c r="B10" s="45" t="s">
        <v>3</v>
      </c>
      <c r="C10" s="45" t="s">
        <v>4</v>
      </c>
      <c r="D10" s="45" t="s">
        <v>5</v>
      </c>
      <c r="E10" s="45" t="s">
        <v>6</v>
      </c>
      <c r="F10" s="45" t="s">
        <v>7</v>
      </c>
      <c r="G10" s="45"/>
      <c r="H10" s="45" t="s">
        <v>8</v>
      </c>
      <c r="I10" s="45" t="s">
        <v>9</v>
      </c>
      <c r="J10" s="45" t="s">
        <v>10</v>
      </c>
      <c r="K10" s="45" t="s">
        <v>11</v>
      </c>
      <c r="L10" s="45" t="s">
        <v>12</v>
      </c>
    </row>
    <row r="11" spans="1:12" x14ac:dyDescent="0.2">
      <c r="A11" s="2" t="s">
        <v>17</v>
      </c>
      <c r="B11" s="32">
        <f>B4/IS_Historical!B3</f>
        <v>4.6525716362755196E-2</v>
      </c>
      <c r="C11" s="32">
        <f>C4/IS_Historical!C3</f>
        <v>3.7563057819169576E-2</v>
      </c>
      <c r="D11" s="32">
        <f>D4/IS_Historical!D3</f>
        <v>2.9299600037205841E-2</v>
      </c>
      <c r="E11" s="32">
        <f>E4/IS_Historical!E3</f>
        <v>2.4653582200463348E-2</v>
      </c>
      <c r="F11" s="32">
        <f>F4/IS_Historical!F3</f>
        <v>2.2842693525424448E-2</v>
      </c>
      <c r="G11" s="20"/>
      <c r="H11" s="32">
        <v>2.1000000000000001E-2</v>
      </c>
      <c r="I11" s="32">
        <v>0.02</v>
      </c>
      <c r="J11" s="32">
        <v>1.9E-2</v>
      </c>
      <c r="K11" s="32">
        <v>0.02</v>
      </c>
      <c r="L11" s="32">
        <v>2.1000000000000001E-2</v>
      </c>
    </row>
    <row r="12" spans="1:12" x14ac:dyDescent="0.2">
      <c r="A12" s="2" t="s">
        <v>18</v>
      </c>
      <c r="B12" s="32">
        <f>B5/IS_Historical!B3</f>
        <v>2.056703216817108E-2</v>
      </c>
      <c r="C12" s="32">
        <f>C5/IS_Historical!C3</f>
        <v>3.5519337731212006E-2</v>
      </c>
      <c r="D12" s="32">
        <f>D5/IS_Historical!D3</f>
        <v>1.5231141289182402E-2</v>
      </c>
      <c r="E12" s="32">
        <f>E5/IS_Historical!E3</f>
        <v>4.7973947632993834E-2</v>
      </c>
      <c r="F12" s="32">
        <f>F5/IS_Historical!F3</f>
        <v>4.3560485327553598E-2</v>
      </c>
      <c r="G12" s="20"/>
      <c r="H12" s="32">
        <f>H5/IS_Historical!H3</f>
        <v>4.5607646743899076E-2</v>
      </c>
      <c r="I12" s="32">
        <f>I5/IS_Historical!I3</f>
        <v>4.3643681094640265E-2</v>
      </c>
      <c r="J12" s="32">
        <f>J5/IS_Historical!J3</f>
        <v>4.221732460203928E-2</v>
      </c>
      <c r="K12" s="32">
        <f>K5/IS_Historical!K3</f>
        <v>4.0717989295278555E-2</v>
      </c>
      <c r="L12" s="32">
        <f>L5/IS_Historical!L3</f>
        <v>3.9157215765471723E-2</v>
      </c>
    </row>
  </sheetData>
  <mergeCells count="2">
    <mergeCell ref="H1:L1"/>
    <mergeCell ref="B1:F1"/>
  </mergeCells>
  <phoneticPr fontId="5" type="noConversion"/>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419D-D570-43C3-B977-A3C84A4036BF}">
  <dimension ref="A1:L22"/>
  <sheetViews>
    <sheetView showGridLines="0" tabSelected="1" zoomScale="140" zoomScaleNormal="140" workbookViewId="0">
      <selection activeCell="B28" sqref="B28"/>
    </sheetView>
  </sheetViews>
  <sheetFormatPr baseColWidth="10" defaultColWidth="9.1640625" defaultRowHeight="16" x14ac:dyDescent="0.2"/>
  <cols>
    <col min="1" max="1" width="37" style="2" bestFit="1" customWidth="1"/>
    <col min="2" max="6" width="10.83203125" style="2" bestFit="1" customWidth="1"/>
    <col min="7" max="7" width="9.1640625" style="2"/>
    <col min="8" max="12" width="9.83203125" style="2" bestFit="1" customWidth="1"/>
    <col min="13" max="16384" width="9.1640625" style="2"/>
  </cols>
  <sheetData>
    <row r="1" spans="1:12" x14ac:dyDescent="0.2">
      <c r="A1" s="3"/>
      <c r="B1" s="13" t="s">
        <v>0</v>
      </c>
      <c r="C1" s="13"/>
      <c r="D1" s="13"/>
      <c r="E1" s="13"/>
      <c r="F1" s="13"/>
      <c r="H1" s="13" t="s">
        <v>1</v>
      </c>
      <c r="I1" s="13"/>
      <c r="J1" s="13"/>
      <c r="K1" s="13"/>
      <c r="L1" s="13"/>
    </row>
    <row r="2" spans="1:12" s="17" customFormat="1" ht="17" thickBot="1" x14ac:dyDescent="0.25">
      <c r="A2" s="4" t="s">
        <v>2</v>
      </c>
      <c r="B2" s="5" t="s">
        <v>3</v>
      </c>
      <c r="C2" s="5" t="s">
        <v>4</v>
      </c>
      <c r="D2" s="5" t="s">
        <v>5</v>
      </c>
      <c r="E2" s="5" t="s">
        <v>6</v>
      </c>
      <c r="F2" s="5" t="s">
        <v>7</v>
      </c>
      <c r="G2" s="5"/>
      <c r="H2" s="5" t="s">
        <v>8</v>
      </c>
      <c r="I2" s="5" t="s">
        <v>9</v>
      </c>
      <c r="J2" s="5" t="s">
        <v>10</v>
      </c>
      <c r="K2" s="5" t="s">
        <v>11</v>
      </c>
      <c r="L2" s="5" t="s">
        <v>12</v>
      </c>
    </row>
    <row r="3" spans="1:12" x14ac:dyDescent="0.2">
      <c r="A3" s="3" t="s">
        <v>31</v>
      </c>
      <c r="B3" s="53">
        <f>IS_Historical!B14</f>
        <v>10533</v>
      </c>
      <c r="C3" s="53">
        <f>IS_Historical!C14</f>
        <v>11760</v>
      </c>
      <c r="D3" s="53">
        <f>IS_Historical!D14</f>
        <v>12169</v>
      </c>
      <c r="E3" s="53">
        <f>IS_Historical!E14</f>
        <v>12439</v>
      </c>
      <c r="F3" s="53">
        <f>IS_Historical!F14</f>
        <v>11067</v>
      </c>
      <c r="G3" s="20"/>
      <c r="H3" s="11">
        <f>IS_Historical!H14</f>
        <v>8730.9920249999977</v>
      </c>
      <c r="I3" s="11">
        <f>IS_Historical!I14</f>
        <v>14352.593188499995</v>
      </c>
      <c r="J3" s="11">
        <f>IS_Historical!J14</f>
        <v>14819.745350935347</v>
      </c>
      <c r="K3" s="11">
        <f>IS_Historical!K14</f>
        <v>15793.265117699882</v>
      </c>
      <c r="L3" s="11">
        <f>IS_Historical!L14</f>
        <v>16346.029396819376</v>
      </c>
    </row>
    <row r="4" spans="1:12" s="16" customFormat="1" x14ac:dyDescent="0.2">
      <c r="A4" s="28" t="s">
        <v>98</v>
      </c>
      <c r="B4" s="54">
        <f>IS_Historical!B15</f>
        <v>1536</v>
      </c>
      <c r="C4" s="54">
        <f>IS_Historical!C15</f>
        <v>1452</v>
      </c>
      <c r="D4" s="54">
        <f>IS_Historical!D15</f>
        <v>1260</v>
      </c>
      <c r="E4" s="54">
        <f>IS_Historical!E15</f>
        <v>1128</v>
      </c>
      <c r="F4" s="54">
        <f>IS_Historical!F15</f>
        <v>1075</v>
      </c>
      <c r="G4" s="54"/>
      <c r="H4" s="54">
        <f>IS_Historical!H15</f>
        <v>1012.988025</v>
      </c>
      <c r="I4" s="54">
        <f>IS_Historical!I15</f>
        <v>989.8340129999998</v>
      </c>
      <c r="J4" s="54">
        <f>IS_Historical!J15</f>
        <v>967.61223940814978</v>
      </c>
      <c r="K4" s="54">
        <f>IS_Historical!K15</f>
        <v>1051.1324537570638</v>
      </c>
      <c r="L4" s="54">
        <f>IS_Historical!L15</f>
        <v>1142.3181941204889</v>
      </c>
    </row>
    <row r="5" spans="1:12" s="3" customFormat="1" x14ac:dyDescent="0.2">
      <c r="A5" s="3" t="s">
        <v>99</v>
      </c>
      <c r="B5" s="55">
        <f>B3-B4</f>
        <v>8997</v>
      </c>
      <c r="C5" s="55">
        <f t="shared" ref="C5:L6" si="0">C3-C4</f>
        <v>10308</v>
      </c>
      <c r="D5" s="55">
        <f t="shared" si="0"/>
        <v>10909</v>
      </c>
      <c r="E5" s="55">
        <f t="shared" si="0"/>
        <v>11311</v>
      </c>
      <c r="F5" s="55">
        <f t="shared" si="0"/>
        <v>9992</v>
      </c>
      <c r="G5" s="55"/>
      <c r="H5" s="55">
        <f t="shared" si="0"/>
        <v>7718.0039999999981</v>
      </c>
      <c r="I5" s="55">
        <f t="shared" si="0"/>
        <v>13362.759175499996</v>
      </c>
      <c r="J5" s="55">
        <f t="shared" si="0"/>
        <v>13852.133111527197</v>
      </c>
      <c r="K5" s="55">
        <f t="shared" si="0"/>
        <v>14742.132663942819</v>
      </c>
      <c r="L5" s="55">
        <f t="shared" si="0"/>
        <v>15203.711202698887</v>
      </c>
    </row>
    <row r="6" spans="1:12" s="16" customFormat="1" x14ac:dyDescent="0.2">
      <c r="A6" s="28" t="s">
        <v>100</v>
      </c>
      <c r="B6" s="54">
        <f>B17*B5</f>
        <v>1828.1933531644272</v>
      </c>
      <c r="C6" s="54">
        <f>C17*C5</f>
        <v>2174.4280080482895</v>
      </c>
      <c r="D6" s="54">
        <f>D17*D5</f>
        <v>1974.3740373096014</v>
      </c>
      <c r="E6" s="54">
        <f>E17*E5</f>
        <v>1964.0548949969118</v>
      </c>
      <c r="F6" s="54">
        <f>F17*F5</f>
        <v>1860.8057465994193</v>
      </c>
      <c r="G6" s="37"/>
      <c r="H6" s="54">
        <f>H17*H5</f>
        <v>1620.7808399999992</v>
      </c>
      <c r="I6" s="54">
        <f>I17*I5</f>
        <v>2552.2870025204993</v>
      </c>
      <c r="J6" s="54">
        <f>J17*J5</f>
        <v>2645.7574243016952</v>
      </c>
      <c r="K6" s="54">
        <f>K17*K5</f>
        <v>2815.7473388130784</v>
      </c>
      <c r="L6" s="54">
        <f>L17*L5</f>
        <v>2903.9088397154874</v>
      </c>
    </row>
    <row r="7" spans="1:12" s="3" customFormat="1" x14ac:dyDescent="0.2">
      <c r="A7" s="3" t="s">
        <v>102</v>
      </c>
      <c r="B7" s="55">
        <f>B5-B6</f>
        <v>7168.8066468355728</v>
      </c>
      <c r="C7" s="55">
        <f t="shared" ref="C7:H7" si="1">C5-C6</f>
        <v>8133.5719919517105</v>
      </c>
      <c r="D7" s="55">
        <f t="shared" si="1"/>
        <v>8934.6259626903993</v>
      </c>
      <c r="E7" s="55">
        <f t="shared" si="1"/>
        <v>9346.9451050030875</v>
      </c>
      <c r="F7" s="55">
        <f t="shared" si="1"/>
        <v>8131.1942534005811</v>
      </c>
      <c r="G7" s="12"/>
      <c r="H7" s="55">
        <f t="shared" si="1"/>
        <v>6097.2231599999986</v>
      </c>
      <c r="I7" s="55">
        <f t="shared" ref="I7" si="2">I5-I6</f>
        <v>10810.472172979496</v>
      </c>
      <c r="J7" s="55">
        <f t="shared" ref="J7" si="3">J5-J6</f>
        <v>11206.375687225502</v>
      </c>
      <c r="K7" s="55">
        <f t="shared" ref="K7" si="4">K5-K6</f>
        <v>11926.385325129741</v>
      </c>
      <c r="L7" s="55">
        <f t="shared" ref="L7" si="5">L5-L6</f>
        <v>12299.802362983399</v>
      </c>
    </row>
    <row r="8" spans="1:12" x14ac:dyDescent="0.2">
      <c r="A8" s="2" t="s">
        <v>103</v>
      </c>
      <c r="B8" s="56">
        <f>'Fixed Assets'!B4</f>
        <v>1536</v>
      </c>
      <c r="C8" s="56">
        <f>'Fixed Assets'!C4</f>
        <v>1452</v>
      </c>
      <c r="D8" s="56">
        <f>'Fixed Assets'!D4</f>
        <v>1260</v>
      </c>
      <c r="E8" s="56">
        <f>'Fixed Assets'!E4</f>
        <v>1128</v>
      </c>
      <c r="F8" s="56">
        <f>'Fixed Assets'!F4</f>
        <v>1075</v>
      </c>
      <c r="G8" s="20"/>
      <c r="H8" s="56">
        <f>'Fixed Assets'!H4</f>
        <v>1012.988025</v>
      </c>
      <c r="I8" s="56">
        <f>'Fixed Assets'!I4</f>
        <v>989.8340129999998</v>
      </c>
      <c r="J8" s="56">
        <f>'Fixed Assets'!J4</f>
        <v>967.61223940814978</v>
      </c>
      <c r="K8" s="56">
        <f>'Fixed Assets'!K4</f>
        <v>1051.1324537570638</v>
      </c>
      <c r="L8" s="56">
        <f>'Fixed Assets'!L4</f>
        <v>1142.3181941204889</v>
      </c>
    </row>
    <row r="9" spans="1:12" x14ac:dyDescent="0.2">
      <c r="A9" s="2" t="s">
        <v>104</v>
      </c>
      <c r="B9" s="56">
        <f>'Fixed Assets'!B5</f>
        <v>679</v>
      </c>
      <c r="C9" s="56">
        <f>'Fixed Assets'!C5</f>
        <v>1373</v>
      </c>
      <c r="D9" s="56">
        <f>'Fixed Assets'!D5</f>
        <v>655</v>
      </c>
      <c r="E9" s="56">
        <f>'Fixed Assets'!E5</f>
        <v>2195</v>
      </c>
      <c r="F9" s="56">
        <f>'Fixed Assets'!F5</f>
        <v>2050</v>
      </c>
      <c r="G9" s="56"/>
      <c r="H9" s="56">
        <f>'Fixed Assets'!H5</f>
        <v>2200</v>
      </c>
      <c r="I9" s="56">
        <f>'Fixed Assets'!I5</f>
        <v>2160</v>
      </c>
      <c r="J9" s="56">
        <f>'Fixed Assets'!J5</f>
        <v>2150</v>
      </c>
      <c r="K9" s="56">
        <f>'Fixed Assets'!K5</f>
        <v>2140</v>
      </c>
      <c r="L9" s="56">
        <f>'Fixed Assets'!L5</f>
        <v>2130</v>
      </c>
    </row>
    <row r="10" spans="1:12" x14ac:dyDescent="0.2">
      <c r="A10" s="2" t="s">
        <v>105</v>
      </c>
      <c r="B10" s="20"/>
      <c r="C10" s="11">
        <f>C11-B11</f>
        <v>-1778</v>
      </c>
      <c r="D10" s="11">
        <f t="shared" ref="D10:L10" si="6">D11-C11</f>
        <v>-607</v>
      </c>
      <c r="E10" s="11">
        <f t="shared" si="6"/>
        <v>2007</v>
      </c>
      <c r="F10" s="11">
        <f t="shared" si="6"/>
        <v>-7691</v>
      </c>
      <c r="G10" s="11"/>
      <c r="H10" s="11">
        <f>-250</f>
        <v>-250</v>
      </c>
      <c r="I10" s="11">
        <f t="shared" si="6"/>
        <v>-219.52340026332786</v>
      </c>
      <c r="J10" s="11">
        <f t="shared" si="6"/>
        <v>-223.13909948531</v>
      </c>
      <c r="K10" s="11">
        <f t="shared" si="6"/>
        <v>-315.41851592763487</v>
      </c>
      <c r="L10" s="11">
        <f t="shared" si="6"/>
        <v>-313.69227023441272</v>
      </c>
    </row>
    <row r="11" spans="1:12" x14ac:dyDescent="0.2">
      <c r="A11" s="2" t="s">
        <v>106</v>
      </c>
      <c r="B11" s="11">
        <f>B12-B13</f>
        <v>-3607</v>
      </c>
      <c r="C11" s="11">
        <f t="shared" ref="C11:L11" si="7">C12-C13</f>
        <v>-5385</v>
      </c>
      <c r="D11" s="11">
        <f t="shared" si="7"/>
        <v>-5992</v>
      </c>
      <c r="E11" s="11">
        <f t="shared" si="7"/>
        <v>-3985</v>
      </c>
      <c r="F11" s="11">
        <f t="shared" si="7"/>
        <v>-11676</v>
      </c>
      <c r="G11" s="11"/>
      <c r="H11" s="11">
        <f t="shared" si="7"/>
        <v>-5247.1996250657921</v>
      </c>
      <c r="I11" s="11">
        <f t="shared" si="7"/>
        <v>-5466.72302532912</v>
      </c>
      <c r="J11" s="11">
        <f t="shared" si="7"/>
        <v>-5689.86212481443</v>
      </c>
      <c r="K11" s="11">
        <f t="shared" si="7"/>
        <v>-6005.2806407420649</v>
      </c>
      <c r="L11" s="11">
        <f t="shared" si="7"/>
        <v>-6318.9729109764776</v>
      </c>
    </row>
    <row r="12" spans="1:12" x14ac:dyDescent="0.2">
      <c r="A12" s="2" t="s">
        <v>88</v>
      </c>
      <c r="B12" s="56">
        <f>'Net Working Capital'!B7</f>
        <v>8326</v>
      </c>
      <c r="C12" s="56">
        <f>'Net Working Capital'!C7</f>
        <v>9920</v>
      </c>
      <c r="D12" s="56">
        <f>'Net Working Capital'!D7</f>
        <v>10960</v>
      </c>
      <c r="E12" s="56">
        <f>'Net Working Capital'!E7</f>
        <v>13069</v>
      </c>
      <c r="F12" s="56">
        <f>'Net Working Capital'!F7</f>
        <v>11426</v>
      </c>
      <c r="G12" s="56"/>
      <c r="H12" s="56">
        <f>'Net Working Capital'!H7</f>
        <v>12255.385153096582</v>
      </c>
      <c r="I12" s="56">
        <f>'Net Working Capital'!I7</f>
        <v>12577.358404600614</v>
      </c>
      <c r="J12" s="56">
        <f>'Net Working Capital'!J7</f>
        <v>12966.433568096923</v>
      </c>
      <c r="K12" s="56">
        <f>'Net Working Capital'!K7</f>
        <v>13431.580215066642</v>
      </c>
      <c r="L12" s="56">
        <f>'Net Working Capital'!L7</f>
        <v>13940.669397472688</v>
      </c>
    </row>
    <row r="13" spans="1:12" x14ac:dyDescent="0.2">
      <c r="A13" s="2" t="s">
        <v>107</v>
      </c>
      <c r="B13" s="56">
        <f>'Net Working Capital'!B11</f>
        <v>11933</v>
      </c>
      <c r="C13" s="56">
        <f>'Net Working Capital'!C11</f>
        <v>15305</v>
      </c>
      <c r="D13" s="56">
        <f>'Net Working Capital'!D11</f>
        <v>16952</v>
      </c>
      <c r="E13" s="56">
        <f>'Net Working Capital'!E11</f>
        <v>17054</v>
      </c>
      <c r="F13" s="56">
        <f>'Net Working Capital'!F11</f>
        <v>23102</v>
      </c>
      <c r="G13" s="56"/>
      <c r="H13" s="56">
        <f>'Net Working Capital'!H11</f>
        <v>17502.584778162374</v>
      </c>
      <c r="I13" s="56">
        <f>'Net Working Capital'!I11</f>
        <v>18044.081429929734</v>
      </c>
      <c r="J13" s="56">
        <f>'Net Working Capital'!J11</f>
        <v>18656.295692911353</v>
      </c>
      <c r="K13" s="56">
        <f>'Net Working Capital'!K11</f>
        <v>19436.860855808707</v>
      </c>
      <c r="L13" s="56">
        <f>'Net Working Capital'!L11</f>
        <v>20259.642308449165</v>
      </c>
    </row>
    <row r="14" spans="1:12" s="17" customFormat="1" ht="17" thickBot="1" x14ac:dyDescent="0.25">
      <c r="A14" s="6" t="s">
        <v>108</v>
      </c>
      <c r="B14" s="57"/>
      <c r="C14" s="58">
        <f>C7+C8-C9-C10</f>
        <v>9990.5719919517105</v>
      </c>
      <c r="D14" s="58">
        <f t="shared" ref="D14:L14" si="8">D7+D8-D9-D10</f>
        <v>10146.625962690399</v>
      </c>
      <c r="E14" s="58">
        <f t="shared" si="8"/>
        <v>6272.9451050030875</v>
      </c>
      <c r="F14" s="58">
        <f t="shared" si="8"/>
        <v>14847.194253400581</v>
      </c>
      <c r="G14" s="58"/>
      <c r="H14" s="58">
        <f t="shared" si="8"/>
        <v>5160.2111849999983</v>
      </c>
      <c r="I14" s="58">
        <f t="shared" si="8"/>
        <v>9859.829586242824</v>
      </c>
      <c r="J14" s="58">
        <f t="shared" si="8"/>
        <v>10247.127026118962</v>
      </c>
      <c r="K14" s="58">
        <f t="shared" si="8"/>
        <v>11152.936294814439</v>
      </c>
      <c r="L14" s="58">
        <f t="shared" si="8"/>
        <v>11625.812827338301</v>
      </c>
    </row>
    <row r="15" spans="1:12" x14ac:dyDescent="0.2">
      <c r="B15" s="20"/>
      <c r="C15" s="20"/>
      <c r="D15" s="20"/>
      <c r="E15" s="20"/>
      <c r="F15" s="20"/>
      <c r="G15" s="20"/>
      <c r="H15" s="20"/>
      <c r="I15" s="20"/>
      <c r="J15" s="20"/>
      <c r="K15" s="20"/>
      <c r="L15" s="20"/>
    </row>
    <row r="16" spans="1:12" x14ac:dyDescent="0.2">
      <c r="B16" s="20"/>
      <c r="C16" s="20"/>
      <c r="D16" s="20"/>
      <c r="E16" s="20"/>
      <c r="F16" s="20"/>
      <c r="G16" s="20"/>
      <c r="H16" s="20"/>
      <c r="I16" s="20"/>
      <c r="J16" s="20"/>
      <c r="K16" s="20"/>
      <c r="L16" s="20"/>
    </row>
    <row r="17" spans="1:12" x14ac:dyDescent="0.2">
      <c r="A17" s="59" t="s">
        <v>101</v>
      </c>
      <c r="B17" s="60">
        <f>IS_Historical!B12/IS_Historical!B11</f>
        <v>0.20320032823879372</v>
      </c>
      <c r="C17" s="60">
        <f>IS_Historical!C12/IS_Historical!C11</f>
        <v>0.21094567404426559</v>
      </c>
      <c r="D17" s="60">
        <f>IS_Historical!D12/IS_Historical!D11</f>
        <v>0.18098579496833819</v>
      </c>
      <c r="E17" s="60">
        <f>IS_Historical!E12/IS_Historical!E11</f>
        <v>0.17364113650401483</v>
      </c>
      <c r="F17" s="60">
        <f>IS_Historical!F12/IS_Historical!F11</f>
        <v>0.18622955830658719</v>
      </c>
      <c r="G17" s="61"/>
      <c r="H17" s="60">
        <f>IS_Historical!H12/IS_Historical!H11</f>
        <v>0.20999999999999996</v>
      </c>
      <c r="I17" s="60">
        <f>IS_Historical!I12/IS_Historical!I11</f>
        <v>0.191</v>
      </c>
      <c r="J17" s="60">
        <f>IS_Historical!J12/IS_Historical!J11</f>
        <v>0.19100000000000003</v>
      </c>
      <c r="K17" s="60">
        <f>IS_Historical!K12/IS_Historical!K11</f>
        <v>0.191</v>
      </c>
      <c r="L17" s="60">
        <f>IS_Historical!L12/IS_Historical!L11</f>
        <v>0.191</v>
      </c>
    </row>
    <row r="18" spans="1:12" x14ac:dyDescent="0.2">
      <c r="B18" s="20"/>
      <c r="C18" s="20"/>
      <c r="D18" s="20"/>
      <c r="E18" s="20"/>
      <c r="F18" s="20"/>
      <c r="G18" s="20"/>
      <c r="H18" s="20"/>
      <c r="I18" s="20"/>
      <c r="J18" s="20"/>
      <c r="K18" s="20"/>
      <c r="L18" s="20"/>
    </row>
    <row r="19" spans="1:12" x14ac:dyDescent="0.2">
      <c r="A19" s="2" t="s">
        <v>137</v>
      </c>
      <c r="B19" s="20"/>
      <c r="C19" s="32">
        <f>C10/IS_Historical!B3</f>
        <v>-5.3855939904283029E-2</v>
      </c>
      <c r="D19" s="32">
        <f>D10/IS_Historical!C3</f>
        <v>-1.5703013840382873E-2</v>
      </c>
      <c r="E19" s="32">
        <f>E10/IS_Historical!D3</f>
        <v>4.6670077202120734E-2</v>
      </c>
      <c r="F19" s="32">
        <f>F10/IS_Historical!E3</f>
        <v>-0.16809459282248546</v>
      </c>
      <c r="G19" s="20"/>
      <c r="H19" s="32">
        <f>H10/IS_Historical!H3</f>
        <v>-5.1826871299885313E-3</v>
      </c>
      <c r="I19" s="32">
        <f>I10/IS_Historical!I3</f>
        <v>-4.4355598490295137E-3</v>
      </c>
      <c r="J19" s="32">
        <f>J10/IS_Historical!J3</f>
        <v>-4.3815515322688688E-3</v>
      </c>
      <c r="K19" s="32">
        <f>K10/IS_Historical!K3</f>
        <v>-6.0014989509691984E-3</v>
      </c>
      <c r="L19" s="32">
        <f>L10/IS_Historical!L3</f>
        <v>-5.7668149809997947E-3</v>
      </c>
    </row>
    <row r="22" spans="1:12" x14ac:dyDescent="0.2">
      <c r="A22" s="2" t="s">
        <v>139</v>
      </c>
    </row>
  </sheetData>
  <mergeCells count="2">
    <mergeCell ref="B1:F1"/>
    <mergeCell ref="H1:L1"/>
  </mergeCells>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BA8B-102E-C44C-A556-531C513EFF50}">
  <dimension ref="A1:L24"/>
  <sheetViews>
    <sheetView showGridLines="0" zoomScale="140" zoomScaleNormal="140" workbookViewId="0">
      <selection activeCell="F30" sqref="F30"/>
    </sheetView>
  </sheetViews>
  <sheetFormatPr baseColWidth="10" defaultColWidth="10.83203125" defaultRowHeight="16" x14ac:dyDescent="0.2"/>
  <cols>
    <col min="1" max="1" width="45.33203125" style="2" bestFit="1" customWidth="1"/>
    <col min="2" max="16384" width="10.83203125" style="2"/>
  </cols>
  <sheetData>
    <row r="1" spans="1:12" x14ac:dyDescent="0.2">
      <c r="B1" s="13" t="s">
        <v>0</v>
      </c>
      <c r="C1" s="13"/>
      <c r="D1" s="13"/>
      <c r="E1" s="13"/>
      <c r="F1" s="13"/>
      <c r="G1" s="20"/>
      <c r="H1" s="13" t="s">
        <v>1</v>
      </c>
      <c r="I1" s="24"/>
      <c r="J1" s="24"/>
      <c r="K1" s="24"/>
      <c r="L1" s="24"/>
    </row>
    <row r="2" spans="1:12" s="15" customFormat="1" ht="17" thickBot="1" x14ac:dyDescent="0.25">
      <c r="A2" s="22" t="s">
        <v>2</v>
      </c>
      <c r="B2" s="5" t="s">
        <v>3</v>
      </c>
      <c r="C2" s="5" t="s">
        <v>4</v>
      </c>
      <c r="D2" s="5" t="s">
        <v>5</v>
      </c>
      <c r="E2" s="5" t="s">
        <v>6</v>
      </c>
      <c r="F2" s="5" t="s">
        <v>7</v>
      </c>
      <c r="G2" s="5"/>
      <c r="H2" s="5" t="s">
        <v>8</v>
      </c>
      <c r="I2" s="5" t="s">
        <v>9</v>
      </c>
      <c r="J2" s="5" t="s">
        <v>10</v>
      </c>
      <c r="K2" s="5" t="s">
        <v>11</v>
      </c>
      <c r="L2" s="5" t="s">
        <v>12</v>
      </c>
    </row>
    <row r="3" spans="1:12" x14ac:dyDescent="0.2">
      <c r="A3" s="40"/>
      <c r="B3" s="53"/>
      <c r="C3" s="53"/>
      <c r="D3" s="53"/>
      <c r="E3" s="53"/>
      <c r="F3" s="53"/>
      <c r="G3" s="20"/>
      <c r="H3" s="56"/>
      <c r="I3" s="56"/>
      <c r="J3" s="56"/>
      <c r="K3" s="56"/>
      <c r="L3" s="56"/>
    </row>
    <row r="4" spans="1:12" x14ac:dyDescent="0.2">
      <c r="A4" s="40" t="s">
        <v>45</v>
      </c>
      <c r="B4" s="53">
        <f>'BS_ Historical'!B4</f>
        <v>3144</v>
      </c>
      <c r="C4" s="53">
        <f>'BS_ Historical'!C4</f>
        <v>3512</v>
      </c>
      <c r="D4" s="53">
        <f>'BS_ Historical'!D4</f>
        <v>3487</v>
      </c>
      <c r="E4" s="53">
        <f>'BS_ Historical'!E4</f>
        <v>3410</v>
      </c>
      <c r="F4" s="53">
        <f>'BS_ Historical'!F4</f>
        <v>3569</v>
      </c>
      <c r="G4" s="20"/>
      <c r="H4" s="56">
        <f>H17*IS_Historical!H3/360</f>
        <v>4028.2149048782385</v>
      </c>
      <c r="I4" s="56">
        <f>I17*IS_Historical!I3/360</f>
        <v>4124.3083874999993</v>
      </c>
      <c r="J4" s="56">
        <f>J17*IS_Historical!J3/360</f>
        <v>4243.9133307374987</v>
      </c>
      <c r="K4" s="56">
        <f>K17*IS_Historical!K3/360</f>
        <v>4379.7185573210991</v>
      </c>
      <c r="L4" s="56">
        <f>L17*IS_Historical!L3/360</f>
        <v>4533.0087068273369</v>
      </c>
    </row>
    <row r="5" spans="1:12" x14ac:dyDescent="0.2">
      <c r="A5" s="40" t="s">
        <v>46</v>
      </c>
      <c r="B5" s="53">
        <f>'BS_ Historical'!B5</f>
        <v>3266</v>
      </c>
      <c r="C5" s="53">
        <f>'BS_ Historical'!C5</f>
        <v>3414</v>
      </c>
      <c r="D5" s="53">
        <f>'BS_ Historical'!D5</f>
        <v>4233</v>
      </c>
      <c r="E5" s="53">
        <f>'BS_ Historical'!E5</f>
        <v>4424</v>
      </c>
      <c r="F5" s="53">
        <f>'BS_ Historical'!F5</f>
        <v>4728</v>
      </c>
      <c r="G5" s="20"/>
      <c r="H5" s="56">
        <f>H18*IS_Historical!H4/360</f>
        <v>4447.8892618556602</v>
      </c>
      <c r="I5" s="56">
        <f>I18*IS_Historical!I4/360</f>
        <v>4575.5077250924996</v>
      </c>
      <c r="J5" s="56">
        <f>J18*IS_Historical!J4/360</f>
        <v>4732.5292188830763</v>
      </c>
      <c r="K5" s="56">
        <f>K18*IS_Historical!K4/360</f>
        <v>4934.1909266779503</v>
      </c>
      <c r="L5" s="56">
        <f>L18*IS_Historical!L4/360</f>
        <v>5145.8714839903932</v>
      </c>
    </row>
    <row r="6" spans="1:12" x14ac:dyDescent="0.2">
      <c r="A6" s="40" t="s">
        <v>47</v>
      </c>
      <c r="B6" s="53">
        <f>'BS_ Historical'!B6</f>
        <v>1916</v>
      </c>
      <c r="C6" s="53">
        <f>'BS_ Historical'!C6</f>
        <v>2994</v>
      </c>
      <c r="D6" s="53">
        <f>'BS_ Historical'!D6</f>
        <v>3240</v>
      </c>
      <c r="E6" s="53">
        <f>'BS_ Historical'!E6</f>
        <v>5235</v>
      </c>
      <c r="F6" s="53">
        <f>'BS_ Historical'!F6</f>
        <v>3129</v>
      </c>
      <c r="G6" s="20"/>
      <c r="H6" s="56">
        <f>H22*IS_Historical!H$3</f>
        <v>3779.2809863626844</v>
      </c>
      <c r="I6" s="56">
        <f>I22*IS_Historical!I$3</f>
        <v>3877.5422920081141</v>
      </c>
      <c r="J6" s="56">
        <f>J22*IS_Historical!J$3</f>
        <v>3989.9910184763489</v>
      </c>
      <c r="K6" s="56">
        <f>K22*IS_Historical!K$3</f>
        <v>4117.670731067592</v>
      </c>
      <c r="L6" s="56">
        <f>L22*IS_Historical!L$3</f>
        <v>4261.7892066549575</v>
      </c>
    </row>
    <row r="7" spans="1:12" s="17" customFormat="1" ht="17" thickBot="1" x14ac:dyDescent="0.25">
      <c r="A7" s="6" t="s">
        <v>88</v>
      </c>
      <c r="B7" s="62">
        <f>SUM(B4:B6)</f>
        <v>8326</v>
      </c>
      <c r="C7" s="62">
        <f t="shared" ref="C7:H7" si="0">SUM(C4:C6)</f>
        <v>9920</v>
      </c>
      <c r="D7" s="62">
        <f t="shared" si="0"/>
        <v>10960</v>
      </c>
      <c r="E7" s="62">
        <f t="shared" si="0"/>
        <v>13069</v>
      </c>
      <c r="F7" s="62">
        <f t="shared" si="0"/>
        <v>11426</v>
      </c>
      <c r="G7" s="57"/>
      <c r="H7" s="63">
        <f t="shared" si="0"/>
        <v>12255.385153096582</v>
      </c>
      <c r="I7" s="63">
        <f t="shared" ref="I7" si="1">SUM(I4:I6)</f>
        <v>12577.358404600614</v>
      </c>
      <c r="J7" s="63">
        <f t="shared" ref="J7" si="2">SUM(J4:J6)</f>
        <v>12966.433568096923</v>
      </c>
      <c r="K7" s="63">
        <f t="shared" ref="K7" si="3">SUM(K4:K6)</f>
        <v>13431.580215066642</v>
      </c>
      <c r="L7" s="63">
        <f t="shared" ref="L7" si="4">SUM(L4:L6)</f>
        <v>13940.669397472688</v>
      </c>
    </row>
    <row r="8" spans="1:12" x14ac:dyDescent="0.2">
      <c r="B8" s="20"/>
      <c r="C8" s="20"/>
      <c r="D8" s="20"/>
      <c r="E8" s="20"/>
      <c r="F8" s="20"/>
      <c r="G8" s="20"/>
      <c r="H8" s="64"/>
      <c r="I8" s="64"/>
      <c r="J8" s="64"/>
      <c r="K8" s="64"/>
      <c r="L8" s="64"/>
    </row>
    <row r="9" spans="1:12" x14ac:dyDescent="0.2">
      <c r="A9" s="2" t="s">
        <v>89</v>
      </c>
      <c r="B9" s="53">
        <v>11145</v>
      </c>
      <c r="C9" s="53">
        <v>14619</v>
      </c>
      <c r="D9" s="53">
        <v>15749</v>
      </c>
      <c r="E9" s="53">
        <v>15485</v>
      </c>
      <c r="F9" s="53">
        <v>21715</v>
      </c>
      <c r="G9" s="20"/>
      <c r="H9" s="56">
        <f>H19*IS_Historical!H4/360</f>
        <v>16216.051316290856</v>
      </c>
      <c r="I9" s="56">
        <f>I19*IS_Historical!I4/360</f>
        <v>16724.098098049559</v>
      </c>
      <c r="J9" s="56">
        <f>J19*IS_Historical!J4/360</f>
        <v>17298.032844406651</v>
      </c>
      <c r="K9" s="56">
        <f>K19*IS_Historical!K4/360</f>
        <v>18035.133596151856</v>
      </c>
      <c r="L9" s="56">
        <f>L19*IS_Historical!L4/360</f>
        <v>18808.854594704324</v>
      </c>
    </row>
    <row r="10" spans="1:12" x14ac:dyDescent="0.2">
      <c r="A10" s="2" t="s">
        <v>90</v>
      </c>
      <c r="B10" s="53">
        <v>788</v>
      </c>
      <c r="C10" s="53">
        <v>686</v>
      </c>
      <c r="D10" s="53">
        <v>1203</v>
      </c>
      <c r="E10" s="53">
        <v>1569</v>
      </c>
      <c r="F10" s="53">
        <v>1387</v>
      </c>
      <c r="G10" s="20"/>
      <c r="H10" s="56">
        <f>H23*IS_Historical!H$3</f>
        <v>1286.5334618715171</v>
      </c>
      <c r="I10" s="56">
        <f>I23*IS_Historical!I$3</f>
        <v>1319.9833318801766</v>
      </c>
      <c r="J10" s="56">
        <f>J23*IS_Historical!J$3</f>
        <v>1358.2628485047017</v>
      </c>
      <c r="K10" s="56">
        <f>K23*IS_Historical!K$3</f>
        <v>1401.7272596568521</v>
      </c>
      <c r="L10" s="56">
        <f>L23*IS_Historical!L$3</f>
        <v>1450.7877137448418</v>
      </c>
    </row>
    <row r="11" spans="1:12" s="17" customFormat="1" ht="17" thickBot="1" x14ac:dyDescent="0.25">
      <c r="A11" s="6" t="s">
        <v>56</v>
      </c>
      <c r="B11" s="62">
        <f>SUM(B9,B10)</f>
        <v>11933</v>
      </c>
      <c r="C11" s="62">
        <f>SUM(C9,C10)</f>
        <v>15305</v>
      </c>
      <c r="D11" s="62">
        <f>SUM(D9,D10)</f>
        <v>16952</v>
      </c>
      <c r="E11" s="62">
        <f>SUM(E9,E10)</f>
        <v>17054</v>
      </c>
      <c r="F11" s="62">
        <f>SUM(F9,F10)</f>
        <v>23102</v>
      </c>
      <c r="G11" s="57"/>
      <c r="H11" s="63">
        <f>SUM(H9,H10)</f>
        <v>17502.584778162374</v>
      </c>
      <c r="I11" s="63">
        <f>SUM(I9,I10)</f>
        <v>18044.081429929734</v>
      </c>
      <c r="J11" s="63">
        <f>SUM(J9,J10)</f>
        <v>18656.295692911353</v>
      </c>
      <c r="K11" s="63">
        <f>SUM(K9,K10)</f>
        <v>19436.860855808707</v>
      </c>
      <c r="L11" s="63">
        <f>SUM(L9,L10)</f>
        <v>20259.642308449165</v>
      </c>
    </row>
    <row r="12" spans="1:12" x14ac:dyDescent="0.2">
      <c r="B12" s="20"/>
      <c r="C12" s="20"/>
      <c r="D12" s="20"/>
      <c r="E12" s="20"/>
      <c r="F12" s="20"/>
      <c r="G12" s="20"/>
      <c r="H12" s="20"/>
      <c r="I12" s="20"/>
      <c r="J12" s="20"/>
      <c r="K12" s="20"/>
      <c r="L12" s="20"/>
    </row>
    <row r="13" spans="1:12" x14ac:dyDescent="0.2">
      <c r="B13" s="20"/>
      <c r="C13" s="20"/>
      <c r="D13" s="20"/>
      <c r="E13" s="20"/>
      <c r="F13" s="20"/>
      <c r="G13" s="20"/>
      <c r="H13" s="20"/>
      <c r="I13" s="20"/>
      <c r="J13" s="20"/>
      <c r="K13" s="20"/>
      <c r="L13" s="20"/>
    </row>
    <row r="14" spans="1:12" x14ac:dyDescent="0.2">
      <c r="B14" s="20"/>
      <c r="C14" s="20"/>
      <c r="D14" s="20"/>
      <c r="E14" s="20"/>
      <c r="F14" s="20"/>
      <c r="G14" s="20"/>
      <c r="H14" s="20"/>
      <c r="I14" s="20"/>
      <c r="J14" s="20"/>
      <c r="K14" s="20"/>
      <c r="L14" s="20"/>
    </row>
    <row r="15" spans="1:12" x14ac:dyDescent="0.2">
      <c r="B15" s="20"/>
      <c r="C15" s="20"/>
      <c r="D15" s="20"/>
      <c r="E15" s="20"/>
      <c r="F15" s="20"/>
      <c r="G15" s="20"/>
      <c r="H15" s="20"/>
      <c r="I15" s="20"/>
      <c r="J15" s="20"/>
      <c r="K15" s="20"/>
      <c r="L15" s="20"/>
    </row>
    <row r="16" spans="1:12" s="12" customFormat="1" x14ac:dyDescent="0.2">
      <c r="A16" s="45" t="s">
        <v>2</v>
      </c>
      <c r="B16" s="45" t="s">
        <v>3</v>
      </c>
      <c r="C16" s="45" t="s">
        <v>4</v>
      </c>
      <c r="D16" s="45" t="s">
        <v>5</v>
      </c>
      <c r="E16" s="45" t="s">
        <v>6</v>
      </c>
      <c r="F16" s="45" t="s">
        <v>7</v>
      </c>
      <c r="G16" s="45"/>
      <c r="H16" s="45" t="s">
        <v>8</v>
      </c>
      <c r="I16" s="45" t="s">
        <v>9</v>
      </c>
      <c r="J16" s="45" t="s">
        <v>10</v>
      </c>
      <c r="K16" s="45" t="s">
        <v>11</v>
      </c>
      <c r="L16" s="45" t="s">
        <v>12</v>
      </c>
    </row>
    <row r="17" spans="1:12" x14ac:dyDescent="0.2">
      <c r="A17" s="2" t="s">
        <v>93</v>
      </c>
      <c r="B17" s="65">
        <f>(B4/IS_Historical!B3)*360</f>
        <v>34.283637244805234</v>
      </c>
      <c r="C17" s="65">
        <f>(C4/IS_Historical!C3)*360</f>
        <v>32.707799767171132</v>
      </c>
      <c r="D17" s="65">
        <f>(D4/IS_Historical!D3)*360</f>
        <v>29.19077295135336</v>
      </c>
      <c r="E17" s="65">
        <f>(E4/IS_Historical!E3)*360</f>
        <v>26.830441054334049</v>
      </c>
      <c r="F17" s="65">
        <f>(F4/IS_Historical!F3)*360</f>
        <v>27.301587301587301</v>
      </c>
      <c r="G17" s="20"/>
      <c r="H17" s="65">
        <f>AVERAGE(B17:F17)</f>
        <v>30.06284766385021</v>
      </c>
      <c r="I17" s="20">
        <v>30</v>
      </c>
      <c r="J17" s="20">
        <v>30</v>
      </c>
      <c r="K17" s="20">
        <v>30</v>
      </c>
      <c r="L17" s="20">
        <v>30</v>
      </c>
    </row>
    <row r="18" spans="1:12" x14ac:dyDescent="0.2">
      <c r="A18" s="2" t="s">
        <v>94</v>
      </c>
      <c r="B18" s="65">
        <f>(B5/IS_Historical!B4)*360</f>
        <v>87.527730216630687</v>
      </c>
      <c r="C18" s="65">
        <f>(C5/IS_Historical!C4)*360</f>
        <v>80.03125610470795</v>
      </c>
      <c r="D18" s="65">
        <f>(D5/IS_Historical!D4)*360</f>
        <v>84.66</v>
      </c>
      <c r="E18" s="65">
        <f>(E5/IS_Historical!E4)*360</f>
        <v>85.995680345572353</v>
      </c>
      <c r="F18" s="65">
        <f>(F5/IS_Historical!F4)*360</f>
        <v>92.888015717092344</v>
      </c>
      <c r="G18" s="20"/>
      <c r="H18" s="65">
        <f>AVERAGE(B18:F18)</f>
        <v>86.220536476800675</v>
      </c>
      <c r="I18" s="20">
        <v>86</v>
      </c>
      <c r="J18" s="20">
        <v>86</v>
      </c>
      <c r="K18" s="20">
        <v>86</v>
      </c>
      <c r="L18" s="20">
        <v>86</v>
      </c>
    </row>
    <row r="19" spans="1:12" x14ac:dyDescent="0.2">
      <c r="A19" s="2" t="s">
        <v>95</v>
      </c>
      <c r="B19" s="65">
        <f>(B9/IS_Historical!B4)*360</f>
        <v>298.6823494379513</v>
      </c>
      <c r="C19" s="65">
        <f>(C9/IS_Historical!C4)*360</f>
        <v>342.69974604414926</v>
      </c>
      <c r="D19" s="65">
        <f>(D9/IS_Historical!D4)*360</f>
        <v>314.97999999999996</v>
      </c>
      <c r="E19" s="65">
        <f>(E9/IS_Historical!E4)*360</f>
        <v>301.00431965442766</v>
      </c>
      <c r="F19" s="65">
        <f>(F9/IS_Historical!F4)*360</f>
        <v>426.62082514734772</v>
      </c>
      <c r="G19" s="20"/>
      <c r="H19" s="65">
        <f>AVERAGE(B19:E19)</f>
        <v>314.34160378413208</v>
      </c>
      <c r="I19" s="65">
        <f>AVERAGE(B19:E19)</f>
        <v>314.34160378413208</v>
      </c>
      <c r="J19" s="65">
        <f>AVERAGE(B19:E19)</f>
        <v>314.34160378413208</v>
      </c>
      <c r="K19" s="65">
        <f>AVERAGE(B19:E19)</f>
        <v>314.34160378413208</v>
      </c>
      <c r="L19" s="65">
        <f>AVERAGE(B19:E19)</f>
        <v>314.34160378413208</v>
      </c>
    </row>
    <row r="20" spans="1:12" x14ac:dyDescent="0.2">
      <c r="B20" s="20"/>
      <c r="C20" s="20"/>
      <c r="D20" s="20"/>
      <c r="E20" s="20"/>
      <c r="F20" s="20"/>
      <c r="G20" s="20"/>
      <c r="H20" s="20"/>
      <c r="I20" s="20"/>
      <c r="J20" s="20"/>
      <c r="K20" s="20"/>
      <c r="L20" s="20"/>
    </row>
    <row r="21" spans="1:12" x14ac:dyDescent="0.2">
      <c r="B21" s="32"/>
      <c r="C21" s="32"/>
      <c r="D21" s="32"/>
      <c r="E21" s="32"/>
      <c r="F21" s="32"/>
      <c r="G21" s="20"/>
      <c r="H21" s="32"/>
      <c r="I21" s="32"/>
      <c r="J21" s="32"/>
      <c r="K21" s="32"/>
      <c r="L21" s="32"/>
    </row>
    <row r="22" spans="1:12" x14ac:dyDescent="0.2">
      <c r="A22" s="2" t="s">
        <v>96</v>
      </c>
      <c r="B22" s="32">
        <f>B6/IS_Historical!B$3</f>
        <v>5.8035984733749317E-2</v>
      </c>
      <c r="C22" s="32">
        <f>C6/IS_Historical!C$3</f>
        <v>7.7454404346138928E-2</v>
      </c>
      <c r="D22" s="32">
        <f>D6/IS_Historical!D$3</f>
        <v>7.5341828667100735E-2</v>
      </c>
      <c r="E22" s="32">
        <f>E6/IS_Historical!E$3</f>
        <v>0.11441622590374612</v>
      </c>
      <c r="F22" s="32">
        <f>F6/IS_Historical!F$3</f>
        <v>6.6488174921909865E-2</v>
      </c>
      <c r="G22" s="20"/>
      <c r="H22" s="32">
        <f t="shared" ref="H22" si="5">AVERAGE(B22:F22)</f>
        <v>7.8347323714528988E-2</v>
      </c>
      <c r="I22" s="32">
        <f t="shared" ref="I22:L22" si="6">H22</f>
        <v>7.8347323714528988E-2</v>
      </c>
      <c r="J22" s="32">
        <f t="shared" si="6"/>
        <v>7.8347323714528988E-2</v>
      </c>
      <c r="K22" s="32">
        <f t="shared" si="6"/>
        <v>7.8347323714528988E-2</v>
      </c>
      <c r="L22" s="32">
        <f t="shared" si="6"/>
        <v>7.8347323714528988E-2</v>
      </c>
    </row>
    <row r="23" spans="1:12" x14ac:dyDescent="0.2">
      <c r="A23" s="2" t="s">
        <v>97</v>
      </c>
      <c r="B23" s="32">
        <f>B10/IS_Historical!B$3</f>
        <v>2.3868661779850971E-2</v>
      </c>
      <c r="C23" s="32">
        <f>C10/IS_Historical!C$3</f>
        <v>1.7746733928340447E-2</v>
      </c>
      <c r="D23" s="32">
        <f>D10/IS_Historical!D$3</f>
        <v>2.7974141940284625E-2</v>
      </c>
      <c r="E23" s="32">
        <f>E10/IS_Historical!E$3</f>
        <v>3.4292083752240243E-2</v>
      </c>
      <c r="F23" s="32">
        <f>F10/IS_Historical!F$3</f>
        <v>2.9472386902105779E-2</v>
      </c>
      <c r="G23" s="20"/>
      <c r="H23" s="32">
        <f>AVERAGE(B23:F23)</f>
        <v>2.6670801660564413E-2</v>
      </c>
      <c r="I23" s="32">
        <f>H23</f>
        <v>2.6670801660564413E-2</v>
      </c>
      <c r="J23" s="32">
        <f>I23</f>
        <v>2.6670801660564413E-2</v>
      </c>
      <c r="K23" s="32">
        <f>J23</f>
        <v>2.6670801660564413E-2</v>
      </c>
      <c r="L23" s="32">
        <f>K23</f>
        <v>2.6670801660564413E-2</v>
      </c>
    </row>
    <row r="24" spans="1:12" x14ac:dyDescent="0.2">
      <c r="B24" s="32"/>
      <c r="C24" s="32"/>
      <c r="D24" s="32"/>
      <c r="E24" s="32"/>
      <c r="F24" s="32"/>
      <c r="G24" s="20"/>
      <c r="H24" s="32"/>
      <c r="I24" s="32"/>
      <c r="J24" s="32"/>
      <c r="K24" s="32"/>
      <c r="L24" s="32"/>
    </row>
  </sheetData>
  <mergeCells count="2">
    <mergeCell ref="H1:L1"/>
    <mergeCell ref="B1:F1"/>
  </mergeCells>
  <phoneticPr fontId="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showGridLines="0" zoomScale="140" zoomScaleNormal="140" workbookViewId="0">
      <pane ySplit="2" topLeftCell="A3" activePane="bottomLeft" state="frozen"/>
      <selection pane="bottomLeft" activeCell="E34" sqref="E34"/>
    </sheetView>
  </sheetViews>
  <sheetFormatPr baseColWidth="10" defaultColWidth="9.1640625" defaultRowHeight="16" x14ac:dyDescent="0.2"/>
  <cols>
    <col min="1" max="1" width="37.83203125" style="2" bestFit="1" customWidth="1"/>
    <col min="2" max="6" width="12.5" style="2" bestFit="1" customWidth="1"/>
    <col min="7" max="7" width="9.1640625" style="2"/>
    <col min="8" max="8" width="11.83203125" style="2" bestFit="1" customWidth="1"/>
    <col min="9" max="11" width="11.1640625" style="2" customWidth="1"/>
    <col min="12" max="12" width="10.83203125" style="2" customWidth="1"/>
    <col min="13" max="16384" width="9.1640625" style="2"/>
  </cols>
  <sheetData>
    <row r="1" spans="1:12" x14ac:dyDescent="0.2">
      <c r="B1" s="66" t="s">
        <v>0</v>
      </c>
      <c r="C1" s="24"/>
      <c r="D1" s="24"/>
      <c r="E1" s="24"/>
      <c r="F1" s="24"/>
      <c r="H1" s="66" t="s">
        <v>1</v>
      </c>
      <c r="I1" s="24"/>
      <c r="J1" s="24"/>
      <c r="K1" s="24"/>
      <c r="L1" s="24"/>
    </row>
    <row r="2" spans="1:12" s="17" customFormat="1" ht="17" thickBot="1" x14ac:dyDescent="0.25">
      <c r="A2" s="4" t="s">
        <v>19</v>
      </c>
      <c r="B2" s="5" t="s">
        <v>3</v>
      </c>
      <c r="C2" s="5" t="s">
        <v>4</v>
      </c>
      <c r="D2" s="5" t="s">
        <v>5</v>
      </c>
      <c r="E2" s="5" t="s">
        <v>6</v>
      </c>
      <c r="F2" s="5" t="s">
        <v>7</v>
      </c>
      <c r="G2" s="5"/>
      <c r="H2" s="5" t="s">
        <v>8</v>
      </c>
      <c r="I2" s="5" t="s">
        <v>9</v>
      </c>
      <c r="J2" s="5" t="s">
        <v>10</v>
      </c>
      <c r="K2" s="5" t="s">
        <v>11</v>
      </c>
      <c r="L2" s="5" t="s">
        <v>12</v>
      </c>
    </row>
    <row r="3" spans="1:12" s="3" customFormat="1" x14ac:dyDescent="0.2">
      <c r="A3" s="3" t="s">
        <v>20</v>
      </c>
      <c r="B3" s="67">
        <v>33014</v>
      </c>
      <c r="C3" s="67">
        <v>38655</v>
      </c>
      <c r="D3" s="67">
        <v>43004</v>
      </c>
      <c r="E3" s="67">
        <v>45754</v>
      </c>
      <c r="F3" s="67">
        <v>47061</v>
      </c>
      <c r="G3" s="12"/>
      <c r="H3" s="68">
        <f>F3*(1+H21)</f>
        <v>48237.524999999994</v>
      </c>
      <c r="I3" s="68">
        <f>H3*(1+I21)</f>
        <v>49491.700649999992</v>
      </c>
      <c r="J3" s="68">
        <f>I3*(1+J21)</f>
        <v>50926.959968849987</v>
      </c>
      <c r="K3" s="68">
        <f>J3*(1+K21)</f>
        <v>52556.622687853189</v>
      </c>
      <c r="L3" s="68">
        <f>K3*(1+L21)</f>
        <v>54396.104481928043</v>
      </c>
    </row>
    <row r="4" spans="1:12" x14ac:dyDescent="0.2">
      <c r="A4" s="2" t="s">
        <v>21</v>
      </c>
      <c r="B4" s="53">
        <v>13433</v>
      </c>
      <c r="C4" s="53">
        <v>15357</v>
      </c>
      <c r="D4" s="53">
        <v>18000</v>
      </c>
      <c r="E4" s="53">
        <v>18520</v>
      </c>
      <c r="F4" s="53">
        <v>18324</v>
      </c>
      <c r="G4" s="20"/>
      <c r="H4" s="56">
        <f>H3*H22</f>
        <v>18571.447124999999</v>
      </c>
      <c r="I4" s="56">
        <f>I3*I22</f>
        <v>19153.288151549998</v>
      </c>
      <c r="J4" s="56">
        <f>J3*J22</f>
        <v>19810.587427882645</v>
      </c>
      <c r="K4" s="56">
        <f>K3*K22</f>
        <v>20654.752716326304</v>
      </c>
      <c r="L4" s="56">
        <f>L3*L22</f>
        <v>21540.857374843505</v>
      </c>
    </row>
    <row r="5" spans="1:12" x14ac:dyDescent="0.2">
      <c r="A5" s="2" t="s">
        <v>22</v>
      </c>
      <c r="B5" s="53">
        <v>19581</v>
      </c>
      <c r="C5" s="53">
        <v>23298</v>
      </c>
      <c r="D5" s="53">
        <v>25004</v>
      </c>
      <c r="E5" s="53">
        <v>27234</v>
      </c>
      <c r="F5" s="53">
        <v>28737</v>
      </c>
      <c r="G5" s="20"/>
      <c r="H5" s="11">
        <f>H3-H4</f>
        <v>29666.077874999995</v>
      </c>
      <c r="I5" s="11">
        <f t="shared" ref="I5:L5" si="0">I3-I4</f>
        <v>30338.412498449994</v>
      </c>
      <c r="J5" s="11">
        <f t="shared" si="0"/>
        <v>31116.372540967343</v>
      </c>
      <c r="K5" s="11">
        <f t="shared" si="0"/>
        <v>31901.869971526885</v>
      </c>
      <c r="L5" s="11">
        <f t="shared" si="0"/>
        <v>32855.247107084535</v>
      </c>
    </row>
    <row r="6" spans="1:12" x14ac:dyDescent="0.2">
      <c r="A6" s="40" t="s">
        <v>23</v>
      </c>
      <c r="B6" s="53">
        <v>9731</v>
      </c>
      <c r="C6" s="53">
        <v>12144</v>
      </c>
      <c r="D6" s="53">
        <v>12880</v>
      </c>
      <c r="E6" s="53">
        <v>13972</v>
      </c>
      <c r="F6" s="53">
        <v>14582</v>
      </c>
      <c r="G6" s="20"/>
      <c r="H6" s="56">
        <f>H3*H23</f>
        <v>15194.820374999998</v>
      </c>
      <c r="I6" s="56">
        <f>I3*I23</f>
        <v>15490.902303449997</v>
      </c>
      <c r="J6" s="56">
        <f>J3*J23</f>
        <v>15787.357590343496</v>
      </c>
      <c r="K6" s="56">
        <f>K3*K23</f>
        <v>15661.87356098025</v>
      </c>
      <c r="L6" s="56">
        <f>L3*L23</f>
        <v>16046.850822168772</v>
      </c>
    </row>
    <row r="7" spans="1:12" s="16" customFormat="1" x14ac:dyDescent="0.2">
      <c r="A7" s="69" t="s">
        <v>24</v>
      </c>
      <c r="B7" s="70">
        <v>-853</v>
      </c>
      <c r="C7" s="70">
        <v>-846</v>
      </c>
      <c r="D7" s="70">
        <v>-1215</v>
      </c>
      <c r="E7" s="70">
        <v>-1951</v>
      </c>
      <c r="F7" s="70">
        <v>-4163</v>
      </c>
      <c r="G7" s="37"/>
      <c r="H7" s="54">
        <f>-H3*H24</f>
        <v>-6753.2534999999998</v>
      </c>
      <c r="I7" s="54">
        <f>-I3*I24</f>
        <v>-1484.7510194999998</v>
      </c>
      <c r="J7" s="54">
        <f>-J3*J24</f>
        <v>-1476.8818390966496</v>
      </c>
      <c r="K7" s="54">
        <f>-K3*K24</f>
        <v>-1497.863746603816</v>
      </c>
      <c r="L7" s="54">
        <f>-L3*L24</f>
        <v>-1604.6850822168772</v>
      </c>
    </row>
    <row r="8" spans="1:12" s="16" customFormat="1" x14ac:dyDescent="0.2">
      <c r="A8" s="16" t="s">
        <v>25</v>
      </c>
      <c r="B8" s="71">
        <v>10584</v>
      </c>
      <c r="C8" s="71">
        <v>12990</v>
      </c>
      <c r="D8" s="71">
        <v>14095</v>
      </c>
      <c r="E8" s="71">
        <v>15923</v>
      </c>
      <c r="F8" s="71">
        <v>18745</v>
      </c>
      <c r="G8" s="18"/>
      <c r="H8" s="72">
        <f>H6-H7</f>
        <v>21948.073874999998</v>
      </c>
      <c r="I8" s="72">
        <f t="shared" ref="I8:L8" si="1">I6-I7</f>
        <v>16975.653322949998</v>
      </c>
      <c r="J8" s="72">
        <f t="shared" si="1"/>
        <v>17264.239429440146</v>
      </c>
      <c r="K8" s="72">
        <f t="shared" si="1"/>
        <v>17159.737307584066</v>
      </c>
      <c r="L8" s="72">
        <f t="shared" si="1"/>
        <v>17651.535904385648</v>
      </c>
    </row>
    <row r="9" spans="1:12" s="3" customFormat="1" x14ac:dyDescent="0.2">
      <c r="A9" s="3" t="s">
        <v>26</v>
      </c>
      <c r="B9" s="67">
        <v>8997</v>
      </c>
      <c r="C9" s="67">
        <v>10308</v>
      </c>
      <c r="D9" s="67">
        <v>10909</v>
      </c>
      <c r="E9" s="67">
        <v>11311</v>
      </c>
      <c r="F9" s="67">
        <v>9992</v>
      </c>
      <c r="G9" s="12"/>
      <c r="H9" s="55">
        <f>H5-H8</f>
        <v>7718.0039999999972</v>
      </c>
      <c r="I9" s="55">
        <f t="shared" ref="I9:L9" si="2">I5-I8</f>
        <v>13362.759175499996</v>
      </c>
      <c r="J9" s="55">
        <f t="shared" si="2"/>
        <v>13852.133111527197</v>
      </c>
      <c r="K9" s="55">
        <f t="shared" si="2"/>
        <v>14742.132663942819</v>
      </c>
      <c r="L9" s="55">
        <f t="shared" si="2"/>
        <v>15203.711202698887</v>
      </c>
    </row>
    <row r="10" spans="1:12" s="16" customFormat="1" x14ac:dyDescent="0.2">
      <c r="A10" s="28" t="s">
        <v>27</v>
      </c>
      <c r="B10" s="70">
        <v>752</v>
      </c>
      <c r="C10" s="70">
        <v>2117</v>
      </c>
      <c r="D10" s="70">
        <v>777</v>
      </c>
      <c r="E10" s="70">
        <v>1641</v>
      </c>
      <c r="F10" s="70">
        <v>3094</v>
      </c>
      <c r="G10" s="37"/>
      <c r="H10" s="54">
        <f>H3*H25</f>
        <v>2894.2514999999994</v>
      </c>
      <c r="I10" s="54">
        <f>I3*I25</f>
        <v>1781.7012233999997</v>
      </c>
      <c r="J10" s="54">
        <f>J3*J25</f>
        <v>1629.6627190031995</v>
      </c>
      <c r="K10" s="54">
        <f>K3*K25</f>
        <v>1471.5854352598892</v>
      </c>
      <c r="L10" s="54">
        <f>L3*L25</f>
        <v>1359.9026120482013</v>
      </c>
    </row>
    <row r="11" spans="1:12" s="17" customFormat="1" x14ac:dyDescent="0.2">
      <c r="A11" s="17" t="s">
        <v>28</v>
      </c>
      <c r="B11" s="73">
        <v>9749</v>
      </c>
      <c r="C11" s="73">
        <v>12425</v>
      </c>
      <c r="D11" s="73">
        <v>11686</v>
      </c>
      <c r="E11" s="73">
        <v>12952</v>
      </c>
      <c r="F11" s="73">
        <v>13086</v>
      </c>
      <c r="G11" s="15"/>
      <c r="H11" s="74">
        <f>SUM(H9:H10)</f>
        <v>10612.255499999996</v>
      </c>
      <c r="I11" s="74">
        <f t="shared" ref="I11:L11" si="3">SUM(I9:I10)</f>
        <v>15144.460398899995</v>
      </c>
      <c r="J11" s="74">
        <f t="shared" si="3"/>
        <v>15481.795830530396</v>
      </c>
      <c r="K11" s="74">
        <f t="shared" si="3"/>
        <v>16213.718099202708</v>
      </c>
      <c r="L11" s="74">
        <f t="shared" si="3"/>
        <v>16563.613814747088</v>
      </c>
    </row>
    <row r="12" spans="1:12" x14ac:dyDescent="0.2">
      <c r="A12" s="2" t="s">
        <v>29</v>
      </c>
      <c r="B12" s="53">
        <v>1981</v>
      </c>
      <c r="C12" s="53">
        <v>2621</v>
      </c>
      <c r="D12" s="53">
        <v>2115</v>
      </c>
      <c r="E12" s="53">
        <v>2249</v>
      </c>
      <c r="F12" s="53">
        <v>2437</v>
      </c>
      <c r="G12" s="20"/>
      <c r="H12" s="56">
        <f>H11*H26</f>
        <v>2228.5736549999988</v>
      </c>
      <c r="I12" s="56">
        <f>I11*I26</f>
        <v>2892.5919361898991</v>
      </c>
      <c r="J12" s="56">
        <f>J11*J26</f>
        <v>2957.023003631306</v>
      </c>
      <c r="K12" s="56">
        <f>K11*K26</f>
        <v>3096.8201569477174</v>
      </c>
      <c r="L12" s="56">
        <f>L11*L26</f>
        <v>3163.650238616694</v>
      </c>
    </row>
    <row r="13" spans="1:12" s="17" customFormat="1" ht="17" thickBot="1" x14ac:dyDescent="0.25">
      <c r="A13" s="6" t="s">
        <v>30</v>
      </c>
      <c r="B13" s="62">
        <v>7747</v>
      </c>
      <c r="C13" s="62">
        <v>9771</v>
      </c>
      <c r="D13" s="62">
        <v>9542</v>
      </c>
      <c r="E13" s="62">
        <v>10714</v>
      </c>
      <c r="F13" s="62">
        <v>10631</v>
      </c>
      <c r="G13" s="57"/>
      <c r="H13" s="58">
        <f>H11-H12</f>
        <v>8383.6818449999973</v>
      </c>
      <c r="I13" s="58">
        <f t="shared" ref="I13:L13" si="4">I11-I12</f>
        <v>12251.868462710096</v>
      </c>
      <c r="J13" s="58">
        <f t="shared" si="4"/>
        <v>12524.77282689909</v>
      </c>
      <c r="K13" s="58">
        <f t="shared" si="4"/>
        <v>13116.897942254991</v>
      </c>
      <c r="L13" s="58">
        <f t="shared" si="4"/>
        <v>13399.963576130394</v>
      </c>
    </row>
    <row r="14" spans="1:12" x14ac:dyDescent="0.2">
      <c r="A14" s="2" t="s">
        <v>31</v>
      </c>
      <c r="B14" s="53">
        <v>10533</v>
      </c>
      <c r="C14" s="53">
        <v>11760</v>
      </c>
      <c r="D14" s="53">
        <v>12169</v>
      </c>
      <c r="E14" s="53">
        <v>12439</v>
      </c>
      <c r="F14" s="53">
        <v>11067</v>
      </c>
      <c r="G14" s="20"/>
      <c r="H14" s="11">
        <f>H9+H15</f>
        <v>8730.9920249999977</v>
      </c>
      <c r="I14" s="11">
        <f t="shared" ref="I14:L14" si="5">I9+I15</f>
        <v>14352.593188499995</v>
      </c>
      <c r="J14" s="11">
        <f t="shared" si="5"/>
        <v>14819.745350935347</v>
      </c>
      <c r="K14" s="11">
        <f t="shared" si="5"/>
        <v>15793.265117699882</v>
      </c>
      <c r="L14" s="11">
        <f t="shared" si="5"/>
        <v>16346.029396819376</v>
      </c>
    </row>
    <row r="15" spans="1:12" s="9" customFormat="1" x14ac:dyDescent="0.2">
      <c r="A15" s="9" t="s">
        <v>32</v>
      </c>
      <c r="B15" s="56">
        <f>B14-B16</f>
        <v>1536</v>
      </c>
      <c r="C15" s="56">
        <f>C14-C16</f>
        <v>1452</v>
      </c>
      <c r="D15" s="56">
        <f>D14-D16</f>
        <v>1260</v>
      </c>
      <c r="E15" s="56">
        <f>E14-E16</f>
        <v>1128</v>
      </c>
      <c r="F15" s="56">
        <f>F14-F16</f>
        <v>1075</v>
      </c>
      <c r="G15" s="64"/>
      <c r="H15" s="56">
        <f>'Fixed Assets'!H4</f>
        <v>1012.988025</v>
      </c>
      <c r="I15" s="56">
        <f>'Fixed Assets'!I4</f>
        <v>989.8340129999998</v>
      </c>
      <c r="J15" s="56">
        <f>'Fixed Assets'!J4</f>
        <v>967.61223940814978</v>
      </c>
      <c r="K15" s="56">
        <f>'Fixed Assets'!K4</f>
        <v>1051.1324537570638</v>
      </c>
      <c r="L15" s="56">
        <f>'Fixed Assets'!L4</f>
        <v>1142.3181941204889</v>
      </c>
    </row>
    <row r="16" spans="1:12" x14ac:dyDescent="0.2">
      <c r="A16" s="2" t="s">
        <v>33</v>
      </c>
      <c r="B16" s="53">
        <v>8997</v>
      </c>
      <c r="C16" s="53">
        <v>10308</v>
      </c>
      <c r="D16" s="53">
        <v>10909</v>
      </c>
      <c r="E16" s="53">
        <v>11311</v>
      </c>
      <c r="F16" s="53">
        <v>9992</v>
      </c>
      <c r="G16" s="20"/>
      <c r="H16" s="11">
        <f>H14-H15</f>
        <v>7718.0039999999981</v>
      </c>
      <c r="I16" s="11">
        <f t="shared" ref="I16:L16" si="6">I14-I15</f>
        <v>13362.759175499996</v>
      </c>
      <c r="J16" s="11">
        <f t="shared" si="6"/>
        <v>13852.133111527197</v>
      </c>
      <c r="K16" s="11">
        <f t="shared" si="6"/>
        <v>14742.132663942819</v>
      </c>
      <c r="L16" s="11">
        <f t="shared" si="6"/>
        <v>15203.711202698887</v>
      </c>
    </row>
    <row r="17" spans="1:13" x14ac:dyDescent="0.2">
      <c r="B17" s="11"/>
      <c r="C17" s="11"/>
      <c r="D17" s="11"/>
      <c r="E17" s="11"/>
      <c r="F17" s="11"/>
      <c r="G17" s="20"/>
      <c r="H17" s="20"/>
      <c r="I17" s="20"/>
      <c r="J17" s="20"/>
      <c r="K17" s="20"/>
      <c r="L17" s="20"/>
    </row>
    <row r="18" spans="1:13" x14ac:dyDescent="0.2">
      <c r="B18" s="53"/>
      <c r="C18" s="53"/>
      <c r="D18" s="53"/>
      <c r="E18" s="53"/>
      <c r="F18" s="53"/>
      <c r="G18" s="20"/>
      <c r="H18" s="20"/>
      <c r="I18" s="20"/>
      <c r="J18" s="20"/>
      <c r="K18" s="20"/>
      <c r="L18" s="20"/>
    </row>
    <row r="19" spans="1:13" s="3" customFormat="1" x14ac:dyDescent="0.2">
      <c r="A19" s="75"/>
      <c r="B19" s="76" t="s">
        <v>0</v>
      </c>
      <c r="C19" s="76"/>
      <c r="D19" s="76"/>
      <c r="E19" s="76"/>
      <c r="F19" s="76"/>
      <c r="G19" s="75"/>
      <c r="H19" s="76" t="s">
        <v>34</v>
      </c>
      <c r="I19" s="76"/>
      <c r="J19" s="76"/>
      <c r="K19" s="76"/>
      <c r="L19" s="76"/>
    </row>
    <row r="20" spans="1:13" s="17" customFormat="1" ht="17" thickBot="1" x14ac:dyDescent="0.25">
      <c r="A20" s="77" t="s">
        <v>35</v>
      </c>
      <c r="B20" s="78" t="s">
        <v>3</v>
      </c>
      <c r="C20" s="78" t="s">
        <v>4</v>
      </c>
      <c r="D20" s="78" t="s">
        <v>5</v>
      </c>
      <c r="E20" s="78" t="s">
        <v>6</v>
      </c>
      <c r="F20" s="78" t="s">
        <v>7</v>
      </c>
      <c r="G20" s="79"/>
      <c r="H20" s="79" t="s">
        <v>8</v>
      </c>
      <c r="I20" s="79" t="s">
        <v>9</v>
      </c>
      <c r="J20" s="79" t="s">
        <v>10</v>
      </c>
      <c r="K20" s="79" t="s">
        <v>11</v>
      </c>
      <c r="L20" s="79" t="s">
        <v>12</v>
      </c>
      <c r="M20" s="15"/>
    </row>
    <row r="21" spans="1:13" x14ac:dyDescent="0.2">
      <c r="A21" s="80" t="s">
        <v>36</v>
      </c>
      <c r="B21" s="81"/>
      <c r="C21" s="60">
        <f>(C3-B3)/B3</f>
        <v>0.17086690494941539</v>
      </c>
      <c r="D21" s="60">
        <f t="shared" ref="D21:F21" si="7">(D3-C3)/C3</f>
        <v>0.11250808433579097</v>
      </c>
      <c r="E21" s="60">
        <f t="shared" si="7"/>
        <v>6.3947539763742914E-2</v>
      </c>
      <c r="F21" s="60">
        <f t="shared" si="7"/>
        <v>2.8565808453905668E-2</v>
      </c>
      <c r="G21" s="60"/>
      <c r="H21" s="60">
        <v>2.5000000000000001E-2</v>
      </c>
      <c r="I21" s="60">
        <v>2.5999999999999999E-2</v>
      </c>
      <c r="J21" s="60">
        <v>2.9000000000000001E-2</v>
      </c>
      <c r="K21" s="60">
        <v>3.2000000000000001E-2</v>
      </c>
      <c r="L21" s="60">
        <v>3.5000000000000003E-2</v>
      </c>
      <c r="M21" s="20"/>
    </row>
    <row r="22" spans="1:13" x14ac:dyDescent="0.2">
      <c r="A22" s="80" t="s">
        <v>37</v>
      </c>
      <c r="B22" s="60">
        <f>B4/B3</f>
        <v>0.40688798691464229</v>
      </c>
      <c r="C22" s="60">
        <f>C4/C3</f>
        <v>0.39728366317423358</v>
      </c>
      <c r="D22" s="60">
        <f>D4/D3</f>
        <v>0.41856571481722632</v>
      </c>
      <c r="E22" s="60">
        <f>E4/E3</f>
        <v>0.4047733531494514</v>
      </c>
      <c r="F22" s="60">
        <f>F4/F3</f>
        <v>0.38936699177663031</v>
      </c>
      <c r="G22" s="60"/>
      <c r="H22" s="60">
        <v>0.38500000000000001</v>
      </c>
      <c r="I22" s="60">
        <v>0.38700000000000001</v>
      </c>
      <c r="J22" s="60">
        <v>0.38900000000000001</v>
      </c>
      <c r="K22" s="60">
        <v>0.39300000000000002</v>
      </c>
      <c r="L22" s="60">
        <v>0.39600000000000002</v>
      </c>
      <c r="M22" s="20"/>
    </row>
    <row r="23" spans="1:13" x14ac:dyDescent="0.2">
      <c r="A23" s="80" t="s">
        <v>38</v>
      </c>
      <c r="B23" s="60">
        <f>B6/B3</f>
        <v>0.29475374083722056</v>
      </c>
      <c r="C23" s="60">
        <f>C6/C3</f>
        <v>0.31416375630578192</v>
      </c>
      <c r="D23" s="60">
        <f>D6/D3</f>
        <v>0.29950702260254858</v>
      </c>
      <c r="E23" s="60">
        <f>E6/E3</f>
        <v>0.30537220789439173</v>
      </c>
      <c r="F23" s="60">
        <f>F6/F3</f>
        <v>0.30985316929092027</v>
      </c>
      <c r="G23" s="60"/>
      <c r="H23" s="60">
        <v>0.315</v>
      </c>
      <c r="I23" s="60">
        <v>0.313</v>
      </c>
      <c r="J23" s="60">
        <v>0.31</v>
      </c>
      <c r="K23" s="60">
        <v>0.29799999999999999</v>
      </c>
      <c r="L23" s="60">
        <v>0.29499999999999998</v>
      </c>
      <c r="M23" s="20"/>
    </row>
    <row r="24" spans="1:13" x14ac:dyDescent="0.2">
      <c r="A24" s="80" t="s">
        <v>39</v>
      </c>
      <c r="B24" s="60">
        <f>-B7/B3</f>
        <v>2.5837523474889441E-2</v>
      </c>
      <c r="C24" s="60">
        <f>-C7/C3</f>
        <v>2.1885913853317812E-2</v>
      </c>
      <c r="D24" s="60">
        <f>-D7/D3</f>
        <v>2.8253185750162776E-2</v>
      </c>
      <c r="E24" s="60">
        <f>-E7/E3</f>
        <v>4.2641080561262402E-2</v>
      </c>
      <c r="F24" s="60">
        <f>-F7/F3</f>
        <v>8.8459658740783237E-2</v>
      </c>
      <c r="G24" s="60"/>
      <c r="H24" s="60">
        <v>0.14000000000000001</v>
      </c>
      <c r="I24" s="60">
        <v>0.03</v>
      </c>
      <c r="J24" s="60">
        <v>2.9000000000000001E-2</v>
      </c>
      <c r="K24" s="60">
        <v>2.8500000000000001E-2</v>
      </c>
      <c r="L24" s="60">
        <v>2.9499999999999998E-2</v>
      </c>
      <c r="M24" s="20"/>
    </row>
    <row r="25" spans="1:13" x14ac:dyDescent="0.2">
      <c r="A25" s="80" t="s">
        <v>40</v>
      </c>
      <c r="B25" s="81">
        <f>B10/B3</f>
        <v>2.2778215302598898E-2</v>
      </c>
      <c r="C25" s="81">
        <f>C10/C3</f>
        <v>5.4766524382356747E-2</v>
      </c>
      <c r="D25" s="81">
        <f>D10/D3</f>
        <v>1.8068086689610269E-2</v>
      </c>
      <c r="E25" s="81">
        <f>E10/E3</f>
        <v>3.5865716658652798E-2</v>
      </c>
      <c r="F25" s="81">
        <f>F10/F3</f>
        <v>6.5744459318756512E-2</v>
      </c>
      <c r="G25" s="60"/>
      <c r="H25" s="60">
        <v>0.06</v>
      </c>
      <c r="I25" s="60">
        <v>3.5999999999999997E-2</v>
      </c>
      <c r="J25" s="60">
        <v>3.2000000000000001E-2</v>
      </c>
      <c r="K25" s="60">
        <v>2.8000000000000001E-2</v>
      </c>
      <c r="L25" s="60">
        <v>2.5000000000000001E-2</v>
      </c>
    </row>
    <row r="26" spans="1:13" x14ac:dyDescent="0.2">
      <c r="A26" s="80" t="s">
        <v>41</v>
      </c>
      <c r="B26" s="60">
        <f>B12/B11</f>
        <v>0.20320032823879372</v>
      </c>
      <c r="C26" s="60">
        <f>C12/C11</f>
        <v>0.21094567404426559</v>
      </c>
      <c r="D26" s="60">
        <f>D12/D11</f>
        <v>0.18098579496833819</v>
      </c>
      <c r="E26" s="60">
        <f>E12/E11</f>
        <v>0.17364113650401483</v>
      </c>
      <c r="F26" s="60">
        <f>F12/F11</f>
        <v>0.18622955830658719</v>
      </c>
      <c r="G26" s="60"/>
      <c r="H26" s="60">
        <v>0.21</v>
      </c>
      <c r="I26" s="60">
        <v>0.191</v>
      </c>
      <c r="J26" s="60">
        <v>0.191</v>
      </c>
      <c r="K26" s="60">
        <v>0.191</v>
      </c>
      <c r="L26" s="60">
        <v>0.191</v>
      </c>
    </row>
    <row r="27" spans="1:13" x14ac:dyDescent="0.2">
      <c r="B27" s="20"/>
      <c r="C27" s="20"/>
      <c r="D27" s="20"/>
      <c r="E27" s="20"/>
      <c r="F27" s="20"/>
      <c r="G27" s="20"/>
      <c r="H27" s="20"/>
      <c r="I27" s="20"/>
      <c r="J27" s="20"/>
      <c r="K27" s="20"/>
      <c r="L27" s="20"/>
    </row>
    <row r="28" spans="1:13" x14ac:dyDescent="0.2">
      <c r="A28" s="2" t="s">
        <v>42</v>
      </c>
      <c r="B28" s="82">
        <f>B5/B3</f>
        <v>0.59311201308535777</v>
      </c>
      <c r="C28" s="82">
        <f>C5/C3</f>
        <v>0.60271633682576642</v>
      </c>
      <c r="D28" s="82">
        <f>D5/D3</f>
        <v>0.58143428518277374</v>
      </c>
      <c r="E28" s="82">
        <f>E5/E3</f>
        <v>0.5952266468505486</v>
      </c>
      <c r="F28" s="82">
        <f>F5/F3</f>
        <v>0.61063300822336963</v>
      </c>
      <c r="G28" s="20"/>
      <c r="H28" s="82">
        <f>H5/H3</f>
        <v>0.61499999999999999</v>
      </c>
      <c r="I28" s="82">
        <f t="shared" ref="I28:L28" si="8">I5/I3</f>
        <v>0.61299999999999999</v>
      </c>
      <c r="J28" s="82">
        <f t="shared" si="8"/>
        <v>0.61099999999999999</v>
      </c>
      <c r="K28" s="82">
        <f t="shared" si="8"/>
        <v>0.60699999999999998</v>
      </c>
      <c r="L28" s="82">
        <f t="shared" si="8"/>
        <v>0.60399999999999998</v>
      </c>
    </row>
    <row r="29" spans="1:13" x14ac:dyDescent="0.2">
      <c r="A29" s="2" t="s">
        <v>43</v>
      </c>
      <c r="B29" s="82">
        <f>B9/B3</f>
        <v>0.27252074877324772</v>
      </c>
      <c r="C29" s="82">
        <f>C9/C3</f>
        <v>0.26666666666666666</v>
      </c>
      <c r="D29" s="82">
        <f>D9/D3</f>
        <v>0.25367407683006232</v>
      </c>
      <c r="E29" s="82">
        <f>E9/E3</f>
        <v>0.24721335839489444</v>
      </c>
      <c r="F29" s="82">
        <f>F9/F3</f>
        <v>0.21232018019166612</v>
      </c>
      <c r="G29" s="20"/>
      <c r="H29" s="82">
        <f>H9/H3</f>
        <v>0.15999999999999995</v>
      </c>
      <c r="I29" s="82">
        <f>I9/I3</f>
        <v>0.26999999999999996</v>
      </c>
      <c r="J29" s="82">
        <f>J9/J3</f>
        <v>0.27200000000000002</v>
      </c>
      <c r="K29" s="82">
        <f>K9/K3</f>
        <v>0.28049999999999997</v>
      </c>
      <c r="L29" s="82">
        <f>L9/L3</f>
        <v>0.27949999999999997</v>
      </c>
    </row>
    <row r="30" spans="1:13" x14ac:dyDescent="0.2">
      <c r="A30" s="2" t="s">
        <v>138</v>
      </c>
      <c r="B30" s="82">
        <f>B13/B3</f>
        <v>0.23465802386866177</v>
      </c>
      <c r="C30" s="82">
        <f>C13/C3</f>
        <v>0.25277454404346139</v>
      </c>
      <c r="D30" s="82">
        <f>D13/D3</f>
        <v>0.22188633615477629</v>
      </c>
      <c r="E30" s="82">
        <f>E13/E3</f>
        <v>0.23416531887922368</v>
      </c>
      <c r="F30" s="82">
        <f>F13/F3</f>
        <v>0.22589830220352308</v>
      </c>
      <c r="G30" s="20"/>
      <c r="H30" s="82">
        <f>H13/H3</f>
        <v>0.17379999999999995</v>
      </c>
      <c r="I30" s="82">
        <f t="shared" ref="I30:L30" si="9">I13/I3</f>
        <v>0.24755399999999994</v>
      </c>
      <c r="J30" s="82">
        <f>J13/J3</f>
        <v>0.24593599999999999</v>
      </c>
      <c r="K30" s="82">
        <f t="shared" si="9"/>
        <v>0.24957649999999998</v>
      </c>
      <c r="L30" s="82">
        <f t="shared" si="9"/>
        <v>0.24634049999999999</v>
      </c>
    </row>
    <row r="31" spans="1:13" x14ac:dyDescent="0.2">
      <c r="C31" s="83"/>
      <c r="D31" s="83"/>
      <c r="E31" s="83"/>
      <c r="F31" s="83"/>
    </row>
  </sheetData>
  <mergeCells count="4">
    <mergeCell ref="B1:F1"/>
    <mergeCell ref="H1:L1"/>
    <mergeCell ref="H19:L19"/>
    <mergeCell ref="B19:F19"/>
  </mergeCells>
  <phoneticPr fontId="5"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2FF5-6EC9-4597-8B66-7A89495738EF}">
  <dimension ref="A1:L33"/>
  <sheetViews>
    <sheetView showGridLines="0" zoomScale="140" zoomScaleNormal="140" workbookViewId="0">
      <selection activeCell="J19" sqref="J19"/>
    </sheetView>
  </sheetViews>
  <sheetFormatPr baseColWidth="10" defaultColWidth="9.1640625" defaultRowHeight="16" x14ac:dyDescent="0.2"/>
  <cols>
    <col min="1" max="1" width="35.83203125" style="2" bestFit="1" customWidth="1"/>
    <col min="2" max="5" width="12.5" style="2" bestFit="1" customWidth="1"/>
    <col min="6" max="6" width="13.5" style="2" bestFit="1" customWidth="1"/>
    <col min="7" max="16384" width="9.1640625" style="2"/>
  </cols>
  <sheetData>
    <row r="1" spans="1:12" x14ac:dyDescent="0.2">
      <c r="B1" s="13" t="s">
        <v>0</v>
      </c>
      <c r="C1" s="24"/>
      <c r="D1" s="24"/>
      <c r="E1" s="24"/>
      <c r="F1" s="24"/>
      <c r="G1" s="20"/>
      <c r="H1" s="13"/>
      <c r="I1" s="24"/>
      <c r="J1" s="24"/>
      <c r="K1" s="24"/>
      <c r="L1" s="24"/>
    </row>
    <row r="2" spans="1:12" s="16" customFormat="1" ht="17" thickBot="1" x14ac:dyDescent="0.25">
      <c r="A2" s="4" t="s">
        <v>2</v>
      </c>
      <c r="B2" s="4" t="s">
        <v>3</v>
      </c>
      <c r="C2" s="4" t="s">
        <v>4</v>
      </c>
      <c r="D2" s="4" t="s">
        <v>5</v>
      </c>
      <c r="E2" s="4" t="s">
        <v>6</v>
      </c>
      <c r="F2" s="4" t="s">
        <v>7</v>
      </c>
      <c r="H2" s="17"/>
      <c r="I2" s="17"/>
      <c r="J2" s="17"/>
      <c r="K2" s="17"/>
      <c r="L2" s="17"/>
    </row>
    <row r="3" spans="1:12" x14ac:dyDescent="0.2">
      <c r="A3" s="40" t="s">
        <v>44</v>
      </c>
      <c r="B3" s="84">
        <v>10914</v>
      </c>
      <c r="C3" s="84">
        <v>12625</v>
      </c>
      <c r="D3" s="84">
        <v>11631</v>
      </c>
      <c r="E3" s="84">
        <v>13663</v>
      </c>
      <c r="F3" s="84">
        <v>14571</v>
      </c>
    </row>
    <row r="4" spans="1:12" x14ac:dyDescent="0.2">
      <c r="A4" s="40" t="s">
        <v>45</v>
      </c>
      <c r="B4" s="84">
        <v>3144</v>
      </c>
      <c r="C4" s="84">
        <v>3512</v>
      </c>
      <c r="D4" s="84">
        <v>3487</v>
      </c>
      <c r="E4" s="84">
        <v>3410</v>
      </c>
      <c r="F4" s="84">
        <v>3569</v>
      </c>
    </row>
    <row r="5" spans="1:12" x14ac:dyDescent="0.2">
      <c r="A5" s="40" t="s">
        <v>46</v>
      </c>
      <c r="B5" s="84">
        <v>3266</v>
      </c>
      <c r="C5" s="84">
        <v>3414</v>
      </c>
      <c r="D5" s="84">
        <v>4233</v>
      </c>
      <c r="E5" s="84">
        <v>4424</v>
      </c>
      <c r="F5" s="84">
        <v>4728</v>
      </c>
    </row>
    <row r="6" spans="1:12" x14ac:dyDescent="0.2">
      <c r="A6" s="40" t="s">
        <v>47</v>
      </c>
      <c r="B6" s="84">
        <v>1916</v>
      </c>
      <c r="C6" s="84">
        <v>2994</v>
      </c>
      <c r="D6" s="84">
        <v>3240</v>
      </c>
      <c r="E6" s="84">
        <v>5235</v>
      </c>
      <c r="F6" s="84">
        <v>3129</v>
      </c>
    </row>
    <row r="7" spans="1:12" s="16" customFormat="1" x14ac:dyDescent="0.2">
      <c r="A7" s="69" t="s">
        <v>48</v>
      </c>
      <c r="B7" s="85" t="s">
        <v>49</v>
      </c>
      <c r="C7" s="85" t="s">
        <v>49</v>
      </c>
      <c r="D7" s="85" t="s">
        <v>49</v>
      </c>
      <c r="E7" s="85" t="s">
        <v>49</v>
      </c>
      <c r="F7" s="85" t="s">
        <v>49</v>
      </c>
    </row>
    <row r="8" spans="1:12" s="17" customFormat="1" x14ac:dyDescent="0.2">
      <c r="A8" s="17" t="s">
        <v>50</v>
      </c>
      <c r="B8" s="86">
        <v>19240</v>
      </c>
      <c r="C8" s="86">
        <v>22545</v>
      </c>
      <c r="D8" s="86">
        <v>22591</v>
      </c>
      <c r="E8" s="86">
        <v>26732</v>
      </c>
      <c r="F8" s="86">
        <v>25997</v>
      </c>
    </row>
    <row r="9" spans="1:12" x14ac:dyDescent="0.2">
      <c r="A9" s="40" t="s">
        <v>51</v>
      </c>
      <c r="B9" s="84">
        <v>10777</v>
      </c>
      <c r="C9" s="84">
        <v>9920</v>
      </c>
      <c r="D9" s="84">
        <v>9841</v>
      </c>
      <c r="E9" s="84">
        <v>9236</v>
      </c>
      <c r="F9" s="84">
        <v>10303</v>
      </c>
    </row>
    <row r="10" spans="1:12" x14ac:dyDescent="0.2">
      <c r="A10" s="40" t="s">
        <v>52</v>
      </c>
      <c r="B10" s="84">
        <v>20085</v>
      </c>
      <c r="C10" s="84">
        <v>18416</v>
      </c>
      <c r="D10" s="84">
        <v>18765</v>
      </c>
      <c r="E10" s="84">
        <v>19671</v>
      </c>
      <c r="F10" s="84">
        <v>18087</v>
      </c>
    </row>
    <row r="11" spans="1:12" x14ac:dyDescent="0.2">
      <c r="A11" s="40" t="s">
        <v>53</v>
      </c>
      <c r="B11" s="84">
        <v>28550</v>
      </c>
      <c r="C11" s="84">
        <v>34613</v>
      </c>
      <c r="D11" s="84">
        <v>33631</v>
      </c>
      <c r="E11" s="84">
        <v>32707</v>
      </c>
      <c r="F11" s="84">
        <v>31440</v>
      </c>
    </row>
    <row r="12" spans="1:12" x14ac:dyDescent="0.2">
      <c r="A12" s="40" t="s">
        <v>54</v>
      </c>
      <c r="B12" s="84">
        <v>6184</v>
      </c>
      <c r="C12" s="84">
        <v>6731</v>
      </c>
      <c r="D12" s="84">
        <v>6189</v>
      </c>
      <c r="E12" s="84">
        <v>7796</v>
      </c>
      <c r="F12" s="84">
        <v>13403</v>
      </c>
    </row>
    <row r="13" spans="1:12" s="17" customFormat="1" ht="17" thickBot="1" x14ac:dyDescent="0.25">
      <c r="A13" s="6" t="s">
        <v>55</v>
      </c>
      <c r="B13" s="87">
        <v>87296</v>
      </c>
      <c r="C13" s="87">
        <v>94354</v>
      </c>
      <c r="D13" s="87">
        <v>92763</v>
      </c>
      <c r="E13" s="87">
        <v>97703</v>
      </c>
      <c r="F13" s="87">
        <v>100549</v>
      </c>
    </row>
    <row r="14" spans="1:12" x14ac:dyDescent="0.2">
      <c r="A14" s="40" t="s">
        <v>56</v>
      </c>
      <c r="B14" s="84">
        <v>14601</v>
      </c>
      <c r="C14" s="84">
        <v>19950</v>
      </c>
      <c r="D14" s="84">
        <v>19724</v>
      </c>
      <c r="E14" s="84">
        <v>23571</v>
      </c>
      <c r="F14" s="84">
        <v>25249</v>
      </c>
    </row>
    <row r="15" spans="1:12" x14ac:dyDescent="0.2">
      <c r="A15" s="88" t="s">
        <v>57</v>
      </c>
      <c r="B15" s="84">
        <v>40125</v>
      </c>
      <c r="C15" s="84">
        <v>38116</v>
      </c>
      <c r="D15" s="84">
        <v>36377</v>
      </c>
      <c r="E15" s="84">
        <v>35547</v>
      </c>
      <c r="F15" s="84">
        <v>42375</v>
      </c>
    </row>
    <row r="16" spans="1:12" x14ac:dyDescent="0.2">
      <c r="A16" s="88" t="s">
        <v>58</v>
      </c>
      <c r="B16" s="84">
        <v>9453</v>
      </c>
      <c r="C16" s="84">
        <v>8607</v>
      </c>
      <c r="D16" s="84">
        <v>7922</v>
      </c>
      <c r="E16" s="84">
        <v>8466</v>
      </c>
      <c r="F16" s="84">
        <v>4084</v>
      </c>
    </row>
    <row r="17" spans="1:6" s="16" customFormat="1" x14ac:dyDescent="0.2">
      <c r="A17" s="89" t="s">
        <v>59</v>
      </c>
      <c r="B17" s="90">
        <v>51411</v>
      </c>
      <c r="C17" s="90">
        <v>49544</v>
      </c>
      <c r="D17" s="90">
        <v>47213</v>
      </c>
      <c r="E17" s="90">
        <v>46652</v>
      </c>
      <c r="F17" s="90">
        <v>48928</v>
      </c>
    </row>
    <row r="18" spans="1:6" s="17" customFormat="1" x14ac:dyDescent="0.2">
      <c r="A18" s="30" t="s">
        <v>60</v>
      </c>
      <c r="B18" s="91">
        <v>66012</v>
      </c>
      <c r="C18" s="91">
        <v>69494</v>
      </c>
      <c r="D18" s="91">
        <v>66937</v>
      </c>
      <c r="E18" s="91">
        <v>70223</v>
      </c>
      <c r="F18" s="91">
        <v>74177</v>
      </c>
    </row>
    <row r="19" spans="1:6" x14ac:dyDescent="0.2">
      <c r="A19" s="2" t="s">
        <v>61</v>
      </c>
      <c r="B19" s="84">
        <v>66555</v>
      </c>
      <c r="C19" s="84">
        <v>69094</v>
      </c>
      <c r="D19" s="84">
        <v>71019</v>
      </c>
      <c r="E19" s="84">
        <v>73782</v>
      </c>
      <c r="F19" s="84">
        <v>76054</v>
      </c>
    </row>
    <row r="20" spans="1:6" x14ac:dyDescent="0.2">
      <c r="A20" s="2" t="s">
        <v>62</v>
      </c>
      <c r="B20" s="84">
        <v>-14601</v>
      </c>
      <c r="C20" s="84">
        <v>-14330</v>
      </c>
      <c r="D20" s="84">
        <v>-14895</v>
      </c>
      <c r="E20" s="84">
        <v>-14275</v>
      </c>
      <c r="F20" s="84">
        <v>-16843</v>
      </c>
    </row>
    <row r="21" spans="1:6" s="3" customFormat="1" x14ac:dyDescent="0.2">
      <c r="A21" s="29" t="s">
        <v>63</v>
      </c>
      <c r="B21" s="92">
        <v>21284</v>
      </c>
      <c r="C21" s="92">
        <v>24860</v>
      </c>
      <c r="D21" s="92">
        <v>25826</v>
      </c>
      <c r="E21" s="92">
        <v>27480</v>
      </c>
      <c r="F21" s="92">
        <v>26372</v>
      </c>
    </row>
    <row r="22" spans="1:6" s="17" customFormat="1" ht="17" thickBot="1" x14ac:dyDescent="0.25">
      <c r="A22" s="6" t="s">
        <v>64</v>
      </c>
      <c r="B22" s="87">
        <v>87296</v>
      </c>
      <c r="C22" s="87">
        <v>94354</v>
      </c>
      <c r="D22" s="87">
        <v>92763</v>
      </c>
      <c r="E22" s="87">
        <v>97703</v>
      </c>
      <c r="F22" s="87">
        <v>100549</v>
      </c>
    </row>
    <row r="23" spans="1:6" x14ac:dyDescent="0.2">
      <c r="B23" s="93"/>
      <c r="C23" s="93"/>
      <c r="D23" s="93"/>
      <c r="E23" s="93"/>
      <c r="F23" s="93"/>
    </row>
    <row r="24" spans="1:6" x14ac:dyDescent="0.2">
      <c r="B24" s="93"/>
      <c r="C24" s="93"/>
      <c r="D24" s="93"/>
      <c r="E24" s="93"/>
      <c r="F24" s="93"/>
    </row>
    <row r="27" spans="1:6" x14ac:dyDescent="0.2">
      <c r="A27" s="2" t="s">
        <v>65</v>
      </c>
      <c r="B27" s="94">
        <f>B8/B14</f>
        <v>1.317717964522978</v>
      </c>
      <c r="C27" s="94">
        <f>C8/C14</f>
        <v>1.1300751879699249</v>
      </c>
      <c r="D27" s="94">
        <f>D8/D14</f>
        <v>1.1453559115798013</v>
      </c>
      <c r="E27" s="94">
        <f>E8/E14</f>
        <v>1.1341054685842773</v>
      </c>
      <c r="F27" s="94">
        <f>F8/F14</f>
        <v>1.0296249356410154</v>
      </c>
    </row>
    <row r="28" spans="1:6" x14ac:dyDescent="0.2">
      <c r="A28" s="2" t="s">
        <v>66</v>
      </c>
      <c r="B28" s="94">
        <f>(B3+B4)/B14</f>
        <v>0.96281076638586394</v>
      </c>
      <c r="C28" s="94">
        <f>(C3+C4)/C14</f>
        <v>0.80887218045112785</v>
      </c>
      <c r="D28" s="94">
        <f>(D3+D4)/D14</f>
        <v>0.76647738795376197</v>
      </c>
      <c r="E28" s="94">
        <f>(E3+E4)/E14</f>
        <v>0.72432226040473469</v>
      </c>
      <c r="F28" s="94">
        <f>(F3+F4)/F14</f>
        <v>0.71844429482355732</v>
      </c>
    </row>
    <row r="29" spans="1:6" x14ac:dyDescent="0.2">
      <c r="A29" s="2" t="s">
        <v>67</v>
      </c>
      <c r="B29" s="94">
        <f>B3/B14</f>
        <v>0.74748304910622565</v>
      </c>
      <c r="C29" s="94">
        <f>C3/C14</f>
        <v>0.6328320802005013</v>
      </c>
      <c r="D29" s="94">
        <f>D3/D14</f>
        <v>0.58968769012370714</v>
      </c>
      <c r="E29" s="94">
        <f>E3/E14</f>
        <v>0.57965296338721306</v>
      </c>
      <c r="F29" s="94">
        <f>F3/F14</f>
        <v>0.57709216206582437</v>
      </c>
    </row>
    <row r="31" spans="1:6" x14ac:dyDescent="0.2">
      <c r="A31" s="2" t="s">
        <v>68</v>
      </c>
      <c r="B31" s="94">
        <f>B18/B21</f>
        <v>3.101484683330201</v>
      </c>
      <c r="C31" s="94">
        <f>C18/C21</f>
        <v>2.7954143201930814</v>
      </c>
      <c r="D31" s="94">
        <f>D18/D21</f>
        <v>2.5918454270889799</v>
      </c>
      <c r="E31" s="94">
        <f>E18/E21</f>
        <v>2.5554221251819507</v>
      </c>
      <c r="F31" s="94">
        <f>F18/F21</f>
        <v>2.8127180342787805</v>
      </c>
    </row>
    <row r="33" spans="1:6" x14ac:dyDescent="0.2">
      <c r="A33" s="83" t="s">
        <v>69</v>
      </c>
      <c r="B33" s="95">
        <f>IS_Historical!B13/'BS_ Historical'!B21</f>
        <v>0.36398233414771658</v>
      </c>
      <c r="C33" s="95">
        <f>IS_Historical!C13/'BS_ Historical'!C21</f>
        <v>0.39304102976669347</v>
      </c>
      <c r="D33" s="95">
        <f>IS_Historical!D13/'BS_ Historical'!D21</f>
        <v>0.36947262448695112</v>
      </c>
      <c r="E33" s="95">
        <f>IS_Historical!E13/'BS_ Historical'!E21</f>
        <v>0.38988355167394467</v>
      </c>
      <c r="F33" s="95">
        <f>IS_Historical!F13/'BS_ Historical'!F21</f>
        <v>0.40311694221143635</v>
      </c>
    </row>
  </sheetData>
  <mergeCells count="2">
    <mergeCell ref="B1:F1"/>
    <mergeCell ref="H1:L1"/>
  </mergeCells>
  <phoneticPr fontId="5" type="noConversion"/>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0D3EC-39E0-4F78-B357-E1CA67BFDF13}">
  <dimension ref="A1:L21"/>
  <sheetViews>
    <sheetView showGridLines="0" zoomScale="140" zoomScaleNormal="140" workbookViewId="0">
      <selection activeCell="D27" sqref="D27"/>
    </sheetView>
  </sheetViews>
  <sheetFormatPr baseColWidth="10" defaultColWidth="9.1640625" defaultRowHeight="16" x14ac:dyDescent="0.2"/>
  <cols>
    <col min="1" max="1" width="36" style="2" bestFit="1" customWidth="1"/>
    <col min="2" max="2" width="12.33203125" style="2" bestFit="1" customWidth="1"/>
    <col min="3" max="3" width="12.5" style="2" bestFit="1" customWidth="1"/>
    <col min="4" max="4" width="13.5" style="2" bestFit="1" customWidth="1"/>
    <col min="5" max="6" width="12.5" style="2" bestFit="1" customWidth="1"/>
    <col min="7" max="16384" width="9.1640625" style="2"/>
  </cols>
  <sheetData>
    <row r="1" spans="1:12" x14ac:dyDescent="0.2">
      <c r="B1" s="13" t="s">
        <v>0</v>
      </c>
      <c r="C1" s="24"/>
      <c r="D1" s="24"/>
      <c r="E1" s="24"/>
      <c r="F1" s="24"/>
      <c r="H1" s="13"/>
      <c r="I1" s="24"/>
      <c r="J1" s="24"/>
      <c r="K1" s="24"/>
      <c r="L1" s="24"/>
    </row>
    <row r="2" spans="1:12" s="17" customFormat="1" ht="17" thickBot="1" x14ac:dyDescent="0.25">
      <c r="A2" s="4" t="s">
        <v>2</v>
      </c>
      <c r="B2" s="4" t="s">
        <v>3</v>
      </c>
      <c r="C2" s="4" t="s">
        <v>4</v>
      </c>
      <c r="D2" s="4" t="s">
        <v>5</v>
      </c>
      <c r="E2" s="4" t="s">
        <v>6</v>
      </c>
      <c r="F2" s="4" t="s">
        <v>7</v>
      </c>
    </row>
    <row r="3" spans="1:12" x14ac:dyDescent="0.2">
      <c r="A3" s="40" t="s">
        <v>30</v>
      </c>
      <c r="B3" s="84">
        <v>7768</v>
      </c>
      <c r="C3" s="84">
        <v>9804</v>
      </c>
      <c r="D3" s="84">
        <v>9571</v>
      </c>
      <c r="E3" s="84">
        <v>10703</v>
      </c>
      <c r="F3" s="84">
        <v>10649</v>
      </c>
    </row>
    <row r="4" spans="1:12" x14ac:dyDescent="0.2">
      <c r="A4" s="40" t="s">
        <v>70</v>
      </c>
      <c r="B4" s="84">
        <v>1536</v>
      </c>
      <c r="C4" s="84">
        <v>1452</v>
      </c>
      <c r="D4" s="84">
        <v>1260</v>
      </c>
      <c r="E4" s="84">
        <v>1128</v>
      </c>
      <c r="F4" s="84">
        <v>1075</v>
      </c>
    </row>
    <row r="5" spans="1:12" x14ac:dyDescent="0.2">
      <c r="A5" s="40" t="s">
        <v>71</v>
      </c>
      <c r="B5" s="84">
        <v>-150</v>
      </c>
      <c r="C5" s="84">
        <v>44</v>
      </c>
      <c r="D5" s="84">
        <v>792</v>
      </c>
      <c r="E5" s="84">
        <v>614</v>
      </c>
      <c r="F5" s="84">
        <v>1315</v>
      </c>
    </row>
    <row r="6" spans="1:12" x14ac:dyDescent="0.2">
      <c r="A6" s="40" t="s">
        <v>72</v>
      </c>
      <c r="B6" s="84">
        <v>1386</v>
      </c>
      <c r="C6" s="84">
        <v>1496</v>
      </c>
      <c r="D6" s="84">
        <v>2052</v>
      </c>
      <c r="E6" s="84">
        <v>1742</v>
      </c>
      <c r="F6" s="84">
        <v>2390</v>
      </c>
    </row>
    <row r="7" spans="1:12" x14ac:dyDescent="0.2">
      <c r="A7" s="40" t="s">
        <v>73</v>
      </c>
      <c r="B7" s="84">
        <v>690</v>
      </c>
      <c r="C7" s="84">
        <v>1325</v>
      </c>
      <c r="D7" s="84">
        <v>-605</v>
      </c>
      <c r="E7" s="84">
        <v>-846</v>
      </c>
      <c r="F7" s="84">
        <v>-6234</v>
      </c>
    </row>
    <row r="8" spans="1:12" s="16" customFormat="1" x14ac:dyDescent="0.2">
      <c r="A8" s="69" t="s">
        <v>74</v>
      </c>
      <c r="B8" s="85">
        <v>690</v>
      </c>
      <c r="C8" s="85">
        <v>1325</v>
      </c>
      <c r="D8" s="85">
        <v>-605</v>
      </c>
      <c r="E8" s="85">
        <v>-846</v>
      </c>
      <c r="F8" s="85">
        <v>-6234</v>
      </c>
    </row>
    <row r="9" spans="1:12" s="17" customFormat="1" x14ac:dyDescent="0.2">
      <c r="A9" s="17" t="s">
        <v>75</v>
      </c>
      <c r="B9" s="86">
        <v>9844</v>
      </c>
      <c r="C9" s="86">
        <v>12625</v>
      </c>
      <c r="D9" s="86">
        <v>11018</v>
      </c>
      <c r="E9" s="86">
        <v>11599</v>
      </c>
      <c r="F9" s="86">
        <v>6805</v>
      </c>
    </row>
    <row r="10" spans="1:12" x14ac:dyDescent="0.2">
      <c r="A10" s="40" t="s">
        <v>76</v>
      </c>
      <c r="B10" s="84">
        <v>-988</v>
      </c>
      <c r="C10" s="84">
        <v>-1259</v>
      </c>
      <c r="D10" s="84">
        <v>-1409</v>
      </c>
      <c r="E10" s="84">
        <v>-1778</v>
      </c>
      <c r="F10" s="84">
        <v>-2024</v>
      </c>
    </row>
    <row r="11" spans="1:12" x14ac:dyDescent="0.2">
      <c r="A11" s="40" t="s">
        <v>77</v>
      </c>
      <c r="B11" s="84">
        <v>-863</v>
      </c>
      <c r="C11" s="84">
        <v>-2586</v>
      </c>
      <c r="D11" s="84">
        <v>385</v>
      </c>
      <c r="E11" s="84">
        <v>368</v>
      </c>
      <c r="F11" s="84">
        <v>3170</v>
      </c>
    </row>
    <row r="12" spans="1:12" x14ac:dyDescent="0.2">
      <c r="A12" s="40" t="s">
        <v>78</v>
      </c>
      <c r="B12" s="84">
        <v>252</v>
      </c>
      <c r="C12" s="84">
        <v>1029</v>
      </c>
      <c r="D12" s="84">
        <v>1020</v>
      </c>
      <c r="E12" s="84">
        <v>-2344</v>
      </c>
      <c r="F12" s="84">
        <v>949</v>
      </c>
    </row>
    <row r="13" spans="1:12" s="16" customFormat="1" x14ac:dyDescent="0.2">
      <c r="A13" s="69" t="s">
        <v>79</v>
      </c>
      <c r="B13" s="85">
        <v>122</v>
      </c>
      <c r="C13" s="85">
        <v>51</v>
      </c>
      <c r="D13" s="85">
        <v>-759</v>
      </c>
      <c r="E13" s="85">
        <v>405</v>
      </c>
      <c r="F13" s="85">
        <v>429</v>
      </c>
    </row>
    <row r="14" spans="1:12" s="17" customFormat="1" x14ac:dyDescent="0.2">
      <c r="A14" s="17" t="s">
        <v>80</v>
      </c>
      <c r="B14" s="86">
        <v>-1477</v>
      </c>
      <c r="C14" s="86">
        <v>-2765</v>
      </c>
      <c r="D14" s="86">
        <v>-763</v>
      </c>
      <c r="E14" s="86">
        <v>-3349</v>
      </c>
      <c r="F14" s="86">
        <v>2524</v>
      </c>
    </row>
    <row r="15" spans="1:12" x14ac:dyDescent="0.2">
      <c r="A15" s="40" t="s">
        <v>81</v>
      </c>
      <c r="B15" s="96">
        <v>-1862</v>
      </c>
      <c r="C15" s="96">
        <v>228</v>
      </c>
      <c r="D15" s="96">
        <v>-958</v>
      </c>
      <c r="E15" s="96">
        <v>1857</v>
      </c>
      <c r="F15" s="96">
        <v>2528</v>
      </c>
    </row>
    <row r="16" spans="1:12" x14ac:dyDescent="0.2">
      <c r="A16" s="40" t="s">
        <v>82</v>
      </c>
      <c r="B16" s="96">
        <v>-1862</v>
      </c>
      <c r="C16" s="96">
        <v>228</v>
      </c>
      <c r="D16" s="96">
        <v>-958</v>
      </c>
      <c r="E16" s="96">
        <v>1857</v>
      </c>
      <c r="F16" s="96">
        <v>2528</v>
      </c>
    </row>
    <row r="17" spans="1:6" x14ac:dyDescent="0.2">
      <c r="A17" s="40" t="s">
        <v>83</v>
      </c>
      <c r="B17" s="96">
        <v>529</v>
      </c>
      <c r="C17" s="96">
        <v>591</v>
      </c>
      <c r="D17" s="96">
        <v>-581</v>
      </c>
      <c r="E17" s="96">
        <v>-1750</v>
      </c>
      <c r="F17" s="96">
        <v>-1048</v>
      </c>
    </row>
    <row r="18" spans="1:6" x14ac:dyDescent="0.2">
      <c r="A18" s="40" t="s">
        <v>84</v>
      </c>
      <c r="B18" s="96">
        <v>-7047</v>
      </c>
      <c r="C18" s="96">
        <v>-7252</v>
      </c>
      <c r="D18" s="96">
        <v>-7616</v>
      </c>
      <c r="E18" s="96">
        <v>-7952</v>
      </c>
      <c r="F18" s="96">
        <v>-8359</v>
      </c>
    </row>
    <row r="19" spans="1:6" x14ac:dyDescent="0.2">
      <c r="A19" s="40" t="s">
        <v>85</v>
      </c>
      <c r="B19" s="96">
        <v>310</v>
      </c>
      <c r="C19" s="96">
        <v>-353</v>
      </c>
      <c r="D19" s="96">
        <v>-1095</v>
      </c>
      <c r="E19" s="96">
        <v>-465</v>
      </c>
      <c r="F19" s="96">
        <v>-31</v>
      </c>
    </row>
    <row r="20" spans="1:6" s="17" customFormat="1" x14ac:dyDescent="0.2">
      <c r="A20" s="30" t="s">
        <v>86</v>
      </c>
      <c r="B20" s="91">
        <v>-8070</v>
      </c>
      <c r="C20" s="91">
        <v>-6786</v>
      </c>
      <c r="D20" s="91">
        <v>-10250</v>
      </c>
      <c r="E20" s="91">
        <v>-8310</v>
      </c>
      <c r="F20" s="91">
        <v>-6910</v>
      </c>
    </row>
    <row r="21" spans="1:6" s="17" customFormat="1" ht="17" thickBot="1" x14ac:dyDescent="0.25">
      <c r="A21" s="6" t="s">
        <v>87</v>
      </c>
      <c r="B21" s="87">
        <v>58</v>
      </c>
      <c r="C21" s="87">
        <v>2574</v>
      </c>
      <c r="D21" s="87">
        <v>-506</v>
      </c>
      <c r="E21" s="87">
        <v>-495</v>
      </c>
      <c r="F21" s="87">
        <v>1136</v>
      </c>
    </row>
  </sheetData>
  <mergeCells count="2">
    <mergeCell ref="B1:F1"/>
    <mergeCell ref="H1:L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15E82-9CB8-1249-B130-D3E8B659521A}">
  <dimension ref="A1:M21"/>
  <sheetViews>
    <sheetView showGridLines="0" zoomScale="140" zoomScaleNormal="140" workbookViewId="0">
      <selection activeCell="B28" sqref="B28"/>
    </sheetView>
  </sheetViews>
  <sheetFormatPr baseColWidth="10" defaultRowHeight="16" x14ac:dyDescent="0.2"/>
  <cols>
    <col min="1" max="1" width="30.33203125" style="23" bestFit="1" customWidth="1"/>
    <col min="2" max="2" width="13.1640625" style="20" bestFit="1" customWidth="1"/>
    <col min="3" max="6" width="10.83203125" style="20"/>
    <col min="7" max="7" width="12.5" style="20" customWidth="1"/>
    <col min="8" max="9" width="10.83203125" style="20"/>
    <col min="10" max="12" width="12" style="20" bestFit="1" customWidth="1"/>
    <col min="13" max="16384" width="10.83203125" style="20"/>
  </cols>
  <sheetData>
    <row r="1" spans="1:13" x14ac:dyDescent="0.2">
      <c r="B1" s="13" t="s">
        <v>0</v>
      </c>
      <c r="C1" s="24"/>
      <c r="D1" s="24"/>
      <c r="E1" s="24"/>
      <c r="F1" s="24"/>
      <c r="H1" s="13" t="s">
        <v>1</v>
      </c>
      <c r="I1" s="24"/>
      <c r="J1" s="24"/>
      <c r="K1" s="24"/>
      <c r="L1" s="24"/>
    </row>
    <row r="2" spans="1:13" s="15" customFormat="1" ht="17" thickBot="1" x14ac:dyDescent="0.25">
      <c r="A2" s="22" t="s">
        <v>2</v>
      </c>
      <c r="B2" s="5" t="s">
        <v>3</v>
      </c>
      <c r="C2" s="5" t="s">
        <v>4</v>
      </c>
      <c r="D2" s="5" t="s">
        <v>5</v>
      </c>
      <c r="E2" s="5" t="s">
        <v>6</v>
      </c>
      <c r="F2" s="5" t="s">
        <v>7</v>
      </c>
      <c r="G2" s="5"/>
      <c r="H2" s="5" t="s">
        <v>8</v>
      </c>
      <c r="I2" s="5" t="s">
        <v>9</v>
      </c>
      <c r="J2" s="5" t="s">
        <v>10</v>
      </c>
      <c r="K2" s="5" t="s">
        <v>11</v>
      </c>
      <c r="L2" s="5" t="s">
        <v>12</v>
      </c>
    </row>
    <row r="3" spans="1:13" s="18" customFormat="1" x14ac:dyDescent="0.2">
      <c r="A3" s="21" t="s">
        <v>108</v>
      </c>
      <c r="C3" s="19">
        <f>'Free Cash FLow'!C14</f>
        <v>9990.5719919517105</v>
      </c>
      <c r="D3" s="19">
        <f>'Free Cash FLow'!D14</f>
        <v>10146.625962690399</v>
      </c>
      <c r="E3" s="19">
        <f>'Free Cash FLow'!E14</f>
        <v>6272.9451050030875</v>
      </c>
      <c r="F3" s="19">
        <f>'Free Cash FLow'!F14</f>
        <v>14847.194253400581</v>
      </c>
      <c r="G3" s="19"/>
      <c r="H3" s="19">
        <f>'Free Cash FLow'!H14</f>
        <v>5160.2111849999983</v>
      </c>
      <c r="I3" s="19">
        <f>'Free Cash FLow'!I14</f>
        <v>9859.829586242824</v>
      </c>
      <c r="J3" s="19">
        <f>'Free Cash FLow'!J14</f>
        <v>10247.127026118962</v>
      </c>
      <c r="K3" s="19">
        <f>'Free Cash FLow'!K14</f>
        <v>11152.936294814439</v>
      </c>
      <c r="L3" s="19">
        <f>'Free Cash FLow'!L14</f>
        <v>11625.812827338301</v>
      </c>
    </row>
    <row r="5" spans="1:13" s="18" customFormat="1" x14ac:dyDescent="0.2">
      <c r="A5" s="21" t="s">
        <v>123</v>
      </c>
      <c r="H5" s="18">
        <v>1</v>
      </c>
      <c r="I5" s="18">
        <v>2</v>
      </c>
      <c r="J5" s="18">
        <v>3</v>
      </c>
      <c r="K5" s="18">
        <v>4</v>
      </c>
      <c r="L5" s="18">
        <v>5</v>
      </c>
    </row>
    <row r="6" spans="1:13" s="15" customFormat="1" x14ac:dyDescent="0.2">
      <c r="A6" s="39" t="s">
        <v>124</v>
      </c>
      <c r="B6" s="34"/>
      <c r="C6" s="34"/>
      <c r="D6" s="34"/>
      <c r="E6" s="34"/>
      <c r="F6" s="34"/>
      <c r="G6" s="34"/>
      <c r="H6" s="41">
        <f>H3/(1+$B$12)^H5</f>
        <v>4829.6266036796833</v>
      </c>
      <c r="I6" s="41">
        <f t="shared" ref="I6:L6" si="0">I3/(1+$B$12)^I5</f>
        <v>8636.9731109883414</v>
      </c>
      <c r="J6" s="41">
        <f t="shared" si="0"/>
        <v>8401.1813180650115</v>
      </c>
      <c r="K6" s="41">
        <f t="shared" si="0"/>
        <v>8558.0247663725095</v>
      </c>
      <c r="L6" s="41">
        <f>L3/(1+$B$12)^L5</f>
        <v>8349.3703138076798</v>
      </c>
    </row>
    <row r="9" spans="1:13" ht="17" thickBot="1" x14ac:dyDescent="0.25">
      <c r="A9" s="25" t="s">
        <v>125</v>
      </c>
      <c r="B9" s="25"/>
    </row>
    <row r="10" spans="1:13" x14ac:dyDescent="0.2">
      <c r="A10" s="23" t="s">
        <v>126</v>
      </c>
      <c r="B10" s="42">
        <f>SUM(H6:L6)</f>
        <v>38775.176112913228</v>
      </c>
    </row>
    <row r="11" spans="1:13" x14ac:dyDescent="0.2">
      <c r="A11" s="23" t="s">
        <v>127</v>
      </c>
      <c r="B11" s="32">
        <v>0.02</v>
      </c>
    </row>
    <row r="12" spans="1:13" x14ac:dyDescent="0.2">
      <c r="A12" s="23" t="s">
        <v>122</v>
      </c>
      <c r="B12" s="32">
        <f>WACC!C19</f>
        <v>6.8449304355836238E-2</v>
      </c>
      <c r="H12" s="24"/>
      <c r="I12" s="24"/>
      <c r="J12" s="24"/>
      <c r="K12" s="24"/>
      <c r="L12" s="24"/>
    </row>
    <row r="13" spans="1:13" x14ac:dyDescent="0.2">
      <c r="A13" s="23" t="s">
        <v>128</v>
      </c>
      <c r="B13" s="42">
        <f>(L3*(1+B11))/(B12-B11)</f>
        <v>244757.46848275655</v>
      </c>
      <c r="G13" s="46"/>
      <c r="H13" s="51"/>
      <c r="I13" s="51"/>
      <c r="J13" s="51"/>
      <c r="K13" s="51"/>
      <c r="L13" s="51"/>
      <c r="M13" s="18"/>
    </row>
    <row r="14" spans="1:13" x14ac:dyDescent="0.2">
      <c r="A14" s="23" t="s">
        <v>129</v>
      </c>
      <c r="B14" s="42">
        <f>B13/(1+B12)^L5</f>
        <v>175778.74096055928</v>
      </c>
      <c r="F14" s="24"/>
      <c r="G14" s="51"/>
      <c r="H14" s="18"/>
      <c r="I14" s="18"/>
      <c r="J14" s="18"/>
      <c r="K14" s="18"/>
      <c r="L14" s="18"/>
      <c r="M14" s="18"/>
    </row>
    <row r="15" spans="1:13" x14ac:dyDescent="0.2">
      <c r="A15" s="23" t="s">
        <v>130</v>
      </c>
      <c r="B15" s="42">
        <f>B14+B10</f>
        <v>214553.91707347252</v>
      </c>
      <c r="F15" s="24"/>
      <c r="G15" s="51"/>
      <c r="H15" s="18"/>
      <c r="I15" s="18"/>
      <c r="J15" s="18"/>
      <c r="K15" s="18"/>
      <c r="L15" s="18"/>
      <c r="M15" s="18"/>
    </row>
    <row r="16" spans="1:13" x14ac:dyDescent="0.2">
      <c r="A16" s="40" t="s">
        <v>131</v>
      </c>
      <c r="B16" s="43">
        <f>'BS_ Historical'!F3</f>
        <v>14571</v>
      </c>
      <c r="F16" s="24"/>
      <c r="G16" s="51"/>
      <c r="H16" s="18"/>
      <c r="I16" s="18"/>
      <c r="J16" s="18"/>
      <c r="K16" s="18"/>
      <c r="L16" s="18"/>
      <c r="M16" s="18"/>
    </row>
    <row r="17" spans="1:13" x14ac:dyDescent="0.2">
      <c r="A17" s="40" t="s">
        <v>132</v>
      </c>
      <c r="B17" s="43">
        <f>WACC!C5</f>
        <v>48928</v>
      </c>
      <c r="F17" s="24"/>
      <c r="G17" s="51"/>
      <c r="H17" s="18"/>
      <c r="I17" s="18"/>
      <c r="J17" s="18"/>
      <c r="K17" s="18"/>
      <c r="L17" s="18"/>
      <c r="M17" s="18"/>
    </row>
    <row r="18" spans="1:13" x14ac:dyDescent="0.2">
      <c r="A18" s="40" t="s">
        <v>133</v>
      </c>
      <c r="B18" s="43">
        <v>1516</v>
      </c>
      <c r="F18" s="24"/>
      <c r="G18" s="51"/>
      <c r="H18" s="18"/>
      <c r="I18" s="18"/>
      <c r="J18" s="18"/>
      <c r="K18" s="18"/>
      <c r="L18" s="18"/>
      <c r="M18" s="18"/>
    </row>
    <row r="19" spans="1:13" s="18" customFormat="1" x14ac:dyDescent="0.2">
      <c r="A19" s="47" t="s">
        <v>134</v>
      </c>
      <c r="B19" s="48">
        <f>B15+B16-B17-B18</f>
        <v>178680.91707347252</v>
      </c>
    </row>
    <row r="20" spans="1:13" x14ac:dyDescent="0.2">
      <c r="A20" s="38" t="s">
        <v>135</v>
      </c>
      <c r="B20" s="44">
        <v>4300</v>
      </c>
      <c r="G20" s="18"/>
      <c r="H20" s="18"/>
      <c r="I20" s="18"/>
      <c r="J20" s="18"/>
      <c r="K20" s="18"/>
      <c r="L20" s="18"/>
      <c r="M20" s="18"/>
    </row>
    <row r="21" spans="1:13" s="18" customFormat="1" x14ac:dyDescent="0.2">
      <c r="A21" s="49" t="s">
        <v>136</v>
      </c>
      <c r="B21" s="50">
        <f>B19/B20</f>
        <v>41.553701644993609</v>
      </c>
    </row>
  </sheetData>
  <mergeCells count="5">
    <mergeCell ref="H12:L12"/>
    <mergeCell ref="F14:F18"/>
    <mergeCell ref="B1:F1"/>
    <mergeCell ref="H1:L1"/>
    <mergeCell ref="A9:B9"/>
  </mergeCells>
  <phoneticPr fontId="5" type="noConversion"/>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80E17-4451-2544-87C0-85AA1EA52B7C}">
  <dimension ref="A2:H19"/>
  <sheetViews>
    <sheetView showGridLines="0" zoomScale="140" zoomScaleNormal="140" workbookViewId="0">
      <selection activeCell="B32" sqref="B32"/>
    </sheetView>
  </sheetViews>
  <sheetFormatPr baseColWidth="10" defaultRowHeight="16" x14ac:dyDescent="0.2"/>
  <cols>
    <col min="1" max="1" width="32.5" style="2" bestFit="1" customWidth="1"/>
    <col min="2" max="2" width="12.33203125" style="2" customWidth="1"/>
    <col min="3" max="3" width="21.83203125" style="2" bestFit="1" customWidth="1"/>
    <col min="4" max="4" width="10.83203125" style="2"/>
    <col min="5" max="5" width="15.5" style="2" bestFit="1" customWidth="1"/>
    <col min="6" max="7" width="10.83203125" style="2"/>
    <col min="8" max="8" width="14" style="2" bestFit="1" customWidth="1"/>
    <col min="9" max="16384" width="10.83203125" style="2"/>
  </cols>
  <sheetData>
    <row r="2" spans="1:8" ht="17" thickBot="1" x14ac:dyDescent="0.25">
      <c r="A2" s="25" t="s">
        <v>109</v>
      </c>
      <c r="B2" s="25"/>
      <c r="C2" s="25"/>
      <c r="D2" s="27"/>
    </row>
    <row r="4" spans="1:8" x14ac:dyDescent="0.2">
      <c r="A4" s="2" t="s">
        <v>110</v>
      </c>
      <c r="C4" s="31">
        <v>301000</v>
      </c>
    </row>
    <row r="5" spans="1:8" x14ac:dyDescent="0.2">
      <c r="A5" s="2" t="s">
        <v>111</v>
      </c>
      <c r="C5" s="20">
        <f>'BS_ Historical'!F17</f>
        <v>48928</v>
      </c>
      <c r="H5" s="26"/>
    </row>
    <row r="6" spans="1:8" x14ac:dyDescent="0.2">
      <c r="C6" s="20"/>
    </row>
    <row r="7" spans="1:8" s="16" customFormat="1" x14ac:dyDescent="0.2">
      <c r="A7" s="27" t="s">
        <v>112</v>
      </c>
      <c r="B7" s="27"/>
      <c r="C7" s="32">
        <f>1656/C5</f>
        <v>3.3845650752125575E-2</v>
      </c>
      <c r="D7" s="27"/>
    </row>
    <row r="8" spans="1:8" x14ac:dyDescent="0.2">
      <c r="A8" s="2" t="s">
        <v>113</v>
      </c>
      <c r="C8" s="32">
        <f>AVERAGE(IS_Historical!B26:F26)</f>
        <v>0.19100049841239991</v>
      </c>
    </row>
    <row r="9" spans="1:8" x14ac:dyDescent="0.2">
      <c r="A9" s="2" t="s">
        <v>114</v>
      </c>
      <c r="C9" s="32">
        <f>C5/SUM(C4:C5)</f>
        <v>0.13982304931300152</v>
      </c>
    </row>
    <row r="10" spans="1:8" x14ac:dyDescent="0.2">
      <c r="A10" s="29" t="s">
        <v>115</v>
      </c>
      <c r="B10" s="29"/>
      <c r="C10" s="33">
        <f>C7*(1-C8)</f>
        <v>2.7381114589377573E-2</v>
      </c>
    </row>
    <row r="11" spans="1:8" x14ac:dyDescent="0.2">
      <c r="C11" s="20"/>
    </row>
    <row r="12" spans="1:8" x14ac:dyDescent="0.2">
      <c r="A12" s="2" t="s">
        <v>116</v>
      </c>
      <c r="C12" s="32">
        <v>4.1000000000000002E-2</v>
      </c>
    </row>
    <row r="13" spans="1:8" x14ac:dyDescent="0.2">
      <c r="A13" s="2" t="s">
        <v>117</v>
      </c>
      <c r="C13" s="32">
        <f>C14+C12</f>
        <v>9.35E-2</v>
      </c>
    </row>
    <row r="14" spans="1:8" x14ac:dyDescent="0.2">
      <c r="A14" s="2" t="s">
        <v>118</v>
      </c>
      <c r="C14" s="32">
        <f>AVERAGE(4.5,6)%</f>
        <v>5.2499999999999998E-2</v>
      </c>
    </row>
    <row r="15" spans="1:8" x14ac:dyDescent="0.2">
      <c r="A15" s="2" t="s">
        <v>119</v>
      </c>
      <c r="C15" s="20">
        <f>AVERAGE(0.6,0.7)</f>
        <v>0.64999999999999991</v>
      </c>
    </row>
    <row r="16" spans="1:8" x14ac:dyDescent="0.2">
      <c r="A16" s="2" t="s">
        <v>120</v>
      </c>
      <c r="C16" s="32">
        <f>C4/SUM(C4:C5)</f>
        <v>0.86017695068699851</v>
      </c>
    </row>
    <row r="17" spans="1:3" x14ac:dyDescent="0.2">
      <c r="A17" s="29" t="s">
        <v>121</v>
      </c>
      <c r="B17" s="29"/>
      <c r="C17" s="33">
        <f>(C15*C14)+C12</f>
        <v>7.5124999999999997E-2</v>
      </c>
    </row>
    <row r="18" spans="1:3" x14ac:dyDescent="0.2">
      <c r="C18" s="20"/>
    </row>
    <row r="19" spans="1:3" x14ac:dyDescent="0.2">
      <c r="A19" s="35" t="s">
        <v>122</v>
      </c>
      <c r="B19" s="35"/>
      <c r="C19" s="36">
        <f>(C10*C9)+(C17*C16)</f>
        <v>6.8449304355836238E-2</v>
      </c>
    </row>
  </sheetData>
  <mergeCells count="1">
    <mergeCell ref="A2:C2"/>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88C33-B5BE-4406-BDA2-75C367CE48C7}">
  <dimension ref="A1:A2"/>
  <sheetViews>
    <sheetView showGridLines="0" zoomScale="140" zoomScaleNormal="140" workbookViewId="0">
      <selection activeCell="A6" sqref="A6"/>
    </sheetView>
  </sheetViews>
  <sheetFormatPr baseColWidth="10" defaultColWidth="8.83203125" defaultRowHeight="16" x14ac:dyDescent="0.2"/>
  <cols>
    <col min="1" max="1" width="38.5" style="14" bestFit="1" customWidth="1"/>
    <col min="2" max="16384" width="8.83203125" style="14"/>
  </cols>
  <sheetData>
    <row r="1" spans="1:1" x14ac:dyDescent="0.2">
      <c r="A1" s="14" t="s">
        <v>91</v>
      </c>
    </row>
    <row r="2" spans="1:1" x14ac:dyDescent="0.2">
      <c r="A2" s="14"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Fixed Assets</vt:lpstr>
      <vt:lpstr>Free Cash FLow</vt:lpstr>
      <vt:lpstr>Net Working Capital</vt:lpstr>
      <vt:lpstr>IS_Historical</vt:lpstr>
      <vt:lpstr>BS_ Historical</vt:lpstr>
      <vt:lpstr>CF_Historical</vt:lpstr>
      <vt:lpstr>DCF</vt:lpstr>
      <vt:lpstr>WACC</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Yuvraj Rajput</cp:lastModifiedBy>
  <cp:revision/>
  <dcterms:created xsi:type="dcterms:W3CDTF">2025-12-13T22:15:26Z</dcterms:created>
  <dcterms:modified xsi:type="dcterms:W3CDTF">2025-12-31T00:37:36Z</dcterms:modified>
  <cp:category/>
  <cp:contentStatus/>
</cp:coreProperties>
</file>